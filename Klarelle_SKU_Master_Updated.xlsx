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38412248742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U Master" sheetId="1" r:id="R388e289427774ac5"/>
    <x:sheet xmlns:r="http://schemas.openxmlformats.org/officeDocument/2006/relationships" name="Style Register" sheetId="2" r:id="R66a2659e80ee4773"/>
    <x:sheet xmlns:r="http://schemas.openxmlformats.org/officeDocument/2006/relationships" name="Code Guide" sheetId="3" r:id="Rc9ceac7952094a5c"/>
    <x:sheet xmlns:r="http://schemas.openxmlformats.org/officeDocument/2006/relationships" name="Color Codes" sheetId="4" r:id="Rc2415da6dc064da2"/>
    <x:sheet xmlns:r="http://schemas.openxmlformats.org/officeDocument/2006/relationships" name="Suppliers" sheetId="5" r:id="R6b44211aaf6742f3"/>
    <x:sheet xmlns:r="http://schemas.openxmlformats.org/officeDocument/2006/relationships" name="Access &amp; Payment" sheetId="6" r:id="R7c87a75d283a4c10"/>
    <x:sheet xmlns:r="http://schemas.openxmlformats.org/officeDocument/2006/relationships" name="Easyship &amp; Warehouse" sheetId="7" r:id="Rdc402ddfb0ec4f6c"/>
    <x:sheet xmlns:r="http://schemas.openxmlformats.org/officeDocument/2006/relationships" name="Website Checks" sheetId="8" r:id="Rf3b5a168ecdf4c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@"/>
  </x:numFmts>
  <x:fonts count="2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B4D55"/>
      <x:name val="Carlito"/>
    </x:font>
    <x:font>
      <x:b/>
      <x:sz val="11"/>
      <x:color rgb="FFFFFFFF"/>
      <x:name val="Carlito"/>
    </x:font>
    <x:font>
      <x:b/>
      <x:sz val="11"/>
      <x:color rgb="FF2B2B2B"/>
      <x:name val="Carlito"/>
    </x:font>
    <x:font>
      <x:sz val="9"/>
      <x:color rgb="FF2B2B2B"/>
      <x:name val="Carlito"/>
    </x:font>
    <x:font>
      <x:b/>
      <x:sz val="9"/>
      <x:color rgb="FF5B3F47"/>
      <x:name val="Carlito"/>
    </x:font>
    <x:font>
      <x:sz val="11"/>
      <x:color rgb="FF2B2B2B"/>
      <x:name val="Carlito"/>
    </x:font>
    <x:font>
      <x:b/>
      <x:sz val="11"/>
      <x:color rgb="FF7A5A00"/>
      <x:name val="Carlito"/>
    </x:font>
    <x:font>
      <x:b/>
      <x:sz val="11"/>
      <x:color rgb="FF236B35"/>
      <x:name val="Carlito"/>
    </x:font>
    <x:font>
      <x:b/>
      <x:sz val="18"/>
      <x:color rgb="FFFFFFFF"/>
      <x:name val="Arial"/>
    </x:font>
    <x:font>
      <x:i/>
      <x:sz val="10"/>
      <x:color rgb="FF6B4D55"/>
      <x:name val="Arial"/>
    </x:font>
    <x:font>
      <x:sz val="11"/>
      <x:name val="Arial"/>
    </x:font>
    <x:font>
      <x:b/>
      <x:sz val="11"/>
      <x:color rgb="FFFFFFFF"/>
      <x:name val="Arial"/>
    </x:font>
    <x:font>
      <x:sz val="9"/>
      <x:color rgb="FF2B2B2B"/>
      <x:name val="Arial"/>
    </x:font>
    <x:font>
      <x:sz val="11"/>
      <x:color rgb="FF2B2B2B"/>
      <x:name val="Arial"/>
    </x:font>
    <x:font>
      <x:b/>
      <x:sz val="11"/>
      <x:color rgb="FF2B2B2B"/>
      <x:name val="Arial"/>
    </x:font>
    <x:font>
      <x:b/>
      <x:sz val="11"/>
      <x:color rgb="FF7A5A00"/>
      <x:name val="Arial"/>
    </x:font>
    <x:font>
      <x:b/>
      <x:sz val="11"/>
      <x:color rgb="FF236B35"/>
      <x:name val="Arial"/>
    </x:font>
    <x:font>
      <x:b/>
      <x:sz val="9"/>
      <x:color rgb="FF5B3F47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5E7EA"/>
      </x:patternFill>
    </x:fill>
    <x:fill>
      <x:patternFill patternType="solid">
        <x:fgColor rgb="FFBE9A64"/>
      </x:patternFill>
    </x:fill>
    <x:fill>
      <x:patternFill patternType="solid">
        <x:fgColor rgb="FFFAF7F2"/>
      </x:patternFill>
    </x:fill>
    <x:fill>
      <x:patternFill patternType="solid">
        <x:fgColor rgb="FFFFF2CC"/>
      </x:patternFill>
    </x:fill>
    <x:fill>
      <x:patternFill patternType="solid">
        <x:fgColor rgb="FFFFFBEA"/>
      </x:patternFill>
    </x:fill>
    <x:fill>
      <x:patternFill patternType="solid">
        <x:fgColor rgb="FFFFFCF2"/>
      </x:patternFill>
    </x:fill>
    <x:fill>
      <x:patternFill patternType="solid">
        <x:fgColor rgb="FFE2F0D9"/>
      </x:patternFill>
    </x:fill>
    <x:fill>
      <x:patternFill patternType="solid">
        <x:fgColor rgb="FFFCE4E4"/>
      </x:patternFill>
    </x:fill>
    <x:fill>
      <x:patternFill patternType="solid">
        <x:fgColor rgb="FFD7EEF8"/>
      </x:patternFill>
    </x:fill>
  </x:fills>
  <x:borders count="9">
    <x:border/>
    <x:border>
      <x:left style="thin">
        <x:color rgb="FFD8C8B0"/>
      </x:left>
      <x:top style="thin">
        <x:color rgb="FFD8C8B0"/>
      </x:top>
      <x:bottom style="thin">
        <x:color rgb="FFD8C8B0"/>
      </x:bottom>
    </x:border>
    <x:border>
      <x:top style="thin">
        <x:color rgb="FFD8C8B0"/>
      </x:top>
      <x:bottom style="thin">
        <x:color rgb="FFD8C8B0"/>
      </x:bottom>
    </x:border>
    <x:border>
      <x:right style="thin">
        <x:color rgb="FFD8C8B0"/>
      </x:right>
      <x:top style="thin">
        <x:color rgb="FFD8C8B0"/>
      </x:top>
      <x:bottom style="thin">
        <x:color rgb="FFD8C8B0"/>
      </x:bottom>
    </x:border>
    <x:border>
      <x:left style="thin">
        <x:color rgb="FF2D2D2D"/>
      </x:left>
      <x:right style="thin">
        <x:color rgb="FF2D2D2D"/>
      </x:right>
      <x:top style="thin">
        <x:color rgb="FF2D2D2D"/>
      </x:top>
      <x:bottom style="thin">
        <x:color rgb="FF2D2D2D"/>
      </x:bottom>
    </x:border>
    <x:border>
      <x:bottom style="thin">
        <x:color rgb="FFE8E0D5"/>
      </x:bottom>
    </x:border>
    <x:border>
      <x:top style="thin">
        <x:color rgb="FFE8E0D5"/>
      </x:top>
      <x:bottom style="thin">
        <x:color rgb="FFE8E0D5"/>
      </x:bottom>
    </x:border>
    <x:border>
      <x:top style="thin">
        <x:color rgb="FFE8E0D5"/>
      </x:top>
    </x:border>
    <x:border>
      <x:left style="thin">
        <x:color rgb="FFB7D7A8"/>
      </x:left>
      <x:right style="thin">
        <x:color rgb="FFB7D7A8"/>
      </x:right>
      <x:top style="thin">
        <x:color rgb="FFB7D7A8"/>
      </x:top>
      <x:bottom style="thin">
        <x:color rgb="FFB7D7A8"/>
      </x:bottom>
    </x:border>
  </x:borders>
  <x:cellStyleXfs count="1">
    <x:xf numFmtId="0" fontId="0" fillId="0" borderId="0"/>
  </x:cellStyleXfs>
  <x:cellXfs count="1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center"/>
    </x:xf>
    <x:xf numFmtId="0" fontId="5" fillId="6" borderId="7" xfId="0" applyNumberFormat="1" applyFont="1" applyFill="1" applyBorder="1" applyAlignment="1">
      <x:alignment vertical="center"/>
    </x:xf>
    <x:xf numFmtId="0" fontId="5" fillId="7" borderId="5" xfId="0" applyNumberFormat="1" applyFont="1" applyFill="1" applyBorder="1" applyAlignment="1">
      <x:alignment vertical="center"/>
    </x:xf>
    <x:xf numFmtId="0" fontId="5" fillId="7" borderId="6" xfId="0" applyNumberFormat="1" applyFont="1" applyFill="1" applyBorder="1" applyAlignment="1">
      <x:alignment vertical="center"/>
    </x:xf>
    <x:xf numFmtId="0" fontId="5" fillId="7" borderId="7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0" fontId="5" fillId="0" borderId="7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201" fontId="5" fillId="6" borderId="5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201" fontId="5" fillId="6" borderId="6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201" fontId="5" fillId="6" borderId="7" xfId="0" applyNumberFormat="1" applyFont="1" applyFill="1" applyBorder="1" applyAlignment="1">
      <x:alignment vertical="center"/>
    </x:xf>
    <x:xf numFmtId="201" fontId="5" fillId="0" borderId="7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7" xfId="0" applyNumberFormat="1" applyFont="1" applyFill="1" applyBorder="1"/>
    <x:xf numFmtId="0" fontId="7" fillId="8" borderId="5" xfId="0" applyNumberFormat="1" applyFont="1" applyFill="1" applyBorder="1" applyAlignment="1">
      <x:alignment wrapText="1"/>
    </x:xf>
    <x:xf numFmtId="0" fontId="7" fillId="8" borderId="6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7" fillId="8" borderId="7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8" xfId="0" applyNumberFormat="1" applyFont="1" applyFill="1" applyBorder="1"/>
    <x:xf numFmtId="0" fontId="9" fillId="9" borderId="8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8" fillId="6" borderId="5" xfId="0" applyNumberFormat="1" applyFont="1" applyFill="1" applyBorder="1" applyAlignment="1">
      <x:alignment vertical="top" wrapText="1"/>
    </x:xf>
    <x:xf numFmtId="0" fontId="8" fillId="6" borderId="6" xfId="0" applyNumberFormat="1" applyFont="1" applyFill="1" applyBorder="1" applyAlignment="1">
      <x:alignment vertical="top" wrapText="1"/>
    </x:xf>
    <x:xf numFmtId="0" fontId="7" fillId="9" borderId="7" xfId="0" applyNumberFormat="1" applyFont="1" applyFill="1" applyBorder="1" applyAlignment="1">
      <x:alignment vertical="top" wrapText="1"/>
    </x:xf>
    <x:xf numFmtId="0" fontId="9" fillId="9" borderId="7" xfId="0" applyNumberFormat="1" applyFont="1" applyFill="1" applyBorder="1" applyAlignment="1">
      <x:alignment vertical="top" wrapText="1"/>
    </x:xf>
    <x:xf numFmtId="0" fontId="7" fillId="10" borderId="6" xfId="0" applyNumberFormat="1" applyFont="1" applyFill="1" applyBorder="1" applyAlignment="1">
      <x:alignment vertical="top" wrapText="1"/>
    </x:xf>
    <x:xf numFmtId="0" fontId="7" fillId="6" borderId="7" xfId="0" applyNumberFormat="1" applyFont="1" applyFill="1" applyBorder="1" applyAlignment="1">
      <x:alignment vertical="top" wrapText="1"/>
    </x:xf>
    <x:xf numFmtId="0" fontId="7" fillId="11" borderId="5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horizontal="center" vertical="center"/>
    </x:xf>
    <x:xf numFmtId="0" fontId="11" fillId="3" borderId="0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3" fillId="2" borderId="4" xfId="0" applyNumberFormat="1" applyFont="1" applyFill="1" applyBorder="1" applyAlignment="1">
      <x:alignment horizontal="center" vertical="center" wrapText="1"/>
    </x:xf>
    <x:xf numFmtId="0" fontId="14" fillId="0" borderId="5" xfId="0" applyNumberFormat="1" applyFont="1" applyFill="1" applyBorder="1" applyAlignment="1">
      <x:alignment vertical="center"/>
    </x:xf>
    <x:xf numFmtId="0" fontId="14" fillId="0" borderId="5" xfId="0" applyNumberFormat="1" applyFont="1" applyFill="1" applyBorder="1" applyAlignment="1">
      <x:alignment vertical="center" wrapText="1"/>
    </x:xf>
    <x:xf numFmtId="0" fontId="14" fillId="0" borderId="6" xfId="0" applyNumberFormat="1" applyFont="1" applyFill="1" applyBorder="1" applyAlignment="1">
      <x:alignment vertical="center"/>
    </x:xf>
    <x:xf numFmtId="0" fontId="14" fillId="0" borderId="6" xfId="0" applyNumberFormat="1" applyFont="1" applyFill="1" applyBorder="1" applyAlignment="1">
      <x:alignment vertical="center" wrapText="1"/>
    </x:xf>
    <x:xf numFmtId="0" fontId="14" fillId="0" borderId="7" xfId="0" applyNumberFormat="1" applyFont="1" applyFill="1" applyBorder="1" applyAlignment="1">
      <x:alignment vertical="center"/>
    </x:xf>
    <x:xf numFmtId="0" fontId="14" fillId="0" borderId="7" xfId="0" applyNumberFormat="1" applyFont="1" applyFill="1" applyBorder="1" applyAlignment="1">
      <x:alignment vertical="center" wrapText="1"/>
    </x:xf>
    <x:xf numFmtId="0" fontId="15" fillId="0" borderId="5" xfId="0" applyNumberFormat="1" applyFont="1" applyFill="1" applyBorder="1" applyAlignment="1">
      <x:alignment vertical="center"/>
    </x:xf>
    <x:xf numFmtId="0" fontId="15" fillId="0" borderId="6" xfId="0" applyNumberFormat="1" applyFont="1" applyFill="1" applyBorder="1" applyAlignment="1">
      <x:alignment vertical="center"/>
    </x:xf>
    <x:xf numFmtId="0" fontId="15" fillId="0" borderId="7" xfId="0" applyNumberFormat="1" applyFont="1" applyFill="1" applyBorder="1" applyAlignment="1">
      <x:alignment vertical="center"/>
    </x:xf>
    <x:xf numFmtId="0" fontId="13" fillId="4" borderId="0" xfId="0" applyNumberFormat="1" applyFont="1" applyFill="1" applyBorder="1" applyAlignment="1">
      <x:alignment horizontal="center" vertical="center" wrapText="1"/>
    </x:xf>
    <x:xf numFmtId="0" fontId="16" fillId="5" borderId="0" xfId="0" applyNumberFormat="1" applyFont="1" applyFill="1" applyBorder="1" applyAlignment="1">
      <x:alignment horizontal="center"/>
    </x:xf>
    <x:xf numFmtId="0" fontId="17" fillId="6" borderId="0" xfId="0" applyNumberFormat="1" applyFont="1" applyFill="1" applyBorder="1" applyAlignment="1">
      <x:alignment vertical="center" wrapText="1"/>
    </x:xf>
    <x:xf numFmtId="0" fontId="15" fillId="8" borderId="5" xfId="0" applyNumberFormat="1" applyFont="1" applyFill="1" applyBorder="1" applyAlignment="1">
      <x:alignment vertical="top" wrapText="1"/>
    </x:xf>
    <x:xf numFmtId="0" fontId="15" fillId="8" borderId="6" xfId="0" applyNumberFormat="1" applyFont="1" applyFill="1" applyBorder="1" applyAlignment="1">
      <x:alignment vertical="top" wrapText="1"/>
    </x:xf>
    <x:xf numFmtId="0" fontId="15" fillId="8" borderId="7" xfId="0" applyNumberFormat="1" applyFont="1" applyFill="1" applyBorder="1" applyAlignment="1">
      <x:alignment vertical="top" wrapText="1"/>
    </x:xf>
    <x:xf numFmtId="0" fontId="15" fillId="0" borderId="5" xfId="0" applyNumberFormat="1" applyFont="1" applyFill="1" applyBorder="1" applyAlignment="1">
      <x:alignment vertical="top" wrapText="1"/>
    </x:xf>
    <x:xf numFmtId="0" fontId="15" fillId="0" borderId="6" xfId="0" applyNumberFormat="1" applyFont="1" applyFill="1" applyBorder="1" applyAlignment="1">
      <x:alignment vertical="top" wrapText="1"/>
    </x:xf>
    <x:xf numFmtId="0" fontId="15" fillId="0" borderId="7" xfId="0" applyNumberFormat="1" applyFont="1" applyFill="1" applyBorder="1" applyAlignment="1">
      <x:alignment vertical="top" wrapText="1"/>
    </x:xf>
    <x:xf numFmtId="0" fontId="18" fillId="9" borderId="8" xfId="0" applyNumberFormat="1" applyFont="1" applyFill="1" applyBorder="1" applyAlignment="1">
      <x:alignment wrapText="1"/>
    </x:xf>
    <x:xf numFmtId="0" fontId="17" fillId="6" borderId="5" xfId="0" applyNumberFormat="1" applyFont="1" applyFill="1" applyBorder="1" applyAlignment="1">
      <x:alignment vertical="top" wrapText="1"/>
    </x:xf>
    <x:xf numFmtId="0" fontId="17" fillId="6" borderId="6" xfId="0" applyNumberFormat="1" applyFont="1" applyFill="1" applyBorder="1" applyAlignment="1">
      <x:alignment vertical="top" wrapText="1"/>
    </x:xf>
    <x:xf numFmtId="0" fontId="18" fillId="9" borderId="7" xfId="0" applyNumberFormat="1" applyFont="1" applyFill="1" applyBorder="1" applyAlignment="1">
      <x:alignment vertical="top" wrapText="1"/>
    </x:xf>
    <x:xf numFmtId="0" fontId="15" fillId="11" borderId="5" xfId="0" applyNumberFormat="1" applyFont="1" applyFill="1" applyBorder="1" applyAlignment="1">
      <x:alignment vertical="top" wrapText="1"/>
    </x:xf>
    <x:xf numFmtId="0" fontId="15" fillId="10" borderId="6" xfId="0" applyNumberFormat="1" applyFont="1" applyFill="1" applyBorder="1" applyAlignment="1">
      <x:alignment vertical="top" wrapText="1"/>
    </x:xf>
    <x:xf numFmtId="0" fontId="15" fillId="6" borderId="6" xfId="0" applyNumberFormat="1" applyFont="1" applyFill="1" applyBorder="1" applyAlignment="1">
      <x:alignment vertical="top" wrapText="1"/>
    </x:xf>
    <x:xf numFmtId="0" fontId="15" fillId="6" borderId="7" xfId="0" applyNumberFormat="1" applyFont="1" applyFill="1" applyBorder="1" applyAlignment="1">
      <x:alignment vertical="top" wrapText="1"/>
    </x:xf>
    <x:xf numFmtId="0" fontId="16" fillId="5" borderId="1" xfId="0" applyNumberFormat="1" applyFont="1" applyFill="1" applyBorder="1" applyAlignment="1">
      <x:alignment horizontal="center" vertical="center" wrapText="1"/>
    </x:xf>
    <x:xf numFmtId="0" fontId="16" fillId="5" borderId="2" xfId="0" applyNumberFormat="1" applyFont="1" applyFill="1" applyBorder="1" applyAlignment="1">
      <x:alignment horizontal="center" vertical="center" wrapText="1"/>
    </x:xf>
    <x:xf numFmtId="0" fontId="16" fillId="5" borderId="3" xfId="0" applyNumberFormat="1" applyFont="1" applyFill="1" applyBorder="1" applyAlignment="1">
      <x:alignment horizontal="center" vertical="center" wrapText="1"/>
    </x:xf>
    <x:xf numFmtId="201" fontId="19" fillId="0" borderId="5" xfId="0" applyNumberFormat="1" applyFont="1" applyFill="1" applyBorder="1" applyAlignment="1">
      <x:alignment vertical="center"/>
    </x:xf>
    <x:xf numFmtId="201" fontId="14" fillId="6" borderId="5" xfId="0" applyNumberFormat="1" applyFont="1" applyFill="1" applyBorder="1" applyAlignment="1">
      <x:alignment vertical="center"/>
    </x:xf>
    <x:xf numFmtId="201" fontId="14" fillId="0" borderId="5" xfId="0" applyNumberFormat="1" applyFont="1" applyFill="1" applyBorder="1" applyAlignment="1">
      <x:alignment vertical="center"/>
    </x:xf>
    <x:xf numFmtId="200" fontId="14" fillId="0" borderId="5" xfId="0" applyNumberFormat="1" applyFont="1" applyFill="1" applyBorder="1" applyAlignment="1">
      <x:alignment vertical="center"/>
    </x:xf>
    <x:xf numFmtId="0" fontId="14" fillId="7" borderId="5" xfId="0" applyNumberFormat="1" applyFont="1" applyFill="1" applyBorder="1" applyAlignment="1">
      <x:alignment vertical="center"/>
    </x:xf>
    <x:xf numFmtId="201" fontId="19" fillId="0" borderId="6" xfId="0" applyNumberFormat="1" applyFont="1" applyFill="1" applyBorder="1" applyAlignment="1">
      <x:alignment vertical="center"/>
    </x:xf>
    <x:xf numFmtId="201" fontId="14" fillId="6" borderId="6" xfId="0" applyNumberFormat="1" applyFont="1" applyFill="1" applyBorder="1" applyAlignment="1">
      <x:alignment vertical="center"/>
    </x:xf>
    <x:xf numFmtId="201" fontId="14" fillId="0" borderId="6" xfId="0" applyNumberFormat="1" applyFont="1" applyFill="1" applyBorder="1" applyAlignment="1">
      <x:alignment vertical="center"/>
    </x:xf>
    <x:xf numFmtId="200" fontId="14" fillId="0" borderId="6" xfId="0" applyNumberFormat="1" applyFont="1" applyFill="1" applyBorder="1" applyAlignment="1">
      <x:alignment vertical="center"/>
    </x:xf>
    <x:xf numFmtId="0" fontId="14" fillId="7" borderId="6" xfId="0" applyNumberFormat="1" applyFont="1" applyFill="1" applyBorder="1" applyAlignment="1">
      <x:alignment vertical="center"/>
    </x:xf>
    <x:xf numFmtId="201" fontId="19" fillId="0" borderId="7" xfId="0" applyNumberFormat="1" applyFont="1" applyFill="1" applyBorder="1" applyAlignment="1">
      <x:alignment vertical="center"/>
    </x:xf>
    <x:xf numFmtId="201" fontId="14" fillId="6" borderId="7" xfId="0" applyNumberFormat="1" applyFont="1" applyFill="1" applyBorder="1" applyAlignment="1">
      <x:alignment vertical="center"/>
    </x:xf>
    <x:xf numFmtId="201" fontId="14" fillId="0" borderId="7" xfId="0" applyNumberFormat="1" applyFont="1" applyFill="1" applyBorder="1" applyAlignment="1">
      <x:alignment vertical="center"/>
    </x:xf>
    <x:xf numFmtId="200" fontId="14" fillId="0" borderId="7" xfId="0" applyNumberFormat="1" applyFont="1" applyFill="1" applyBorder="1" applyAlignment="1">
      <x:alignment vertical="center"/>
    </x:xf>
    <x:xf numFmtId="0" fontId="14" fillId="7" borderId="7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CE4E4"/>
        </x:patternFill>
      </x:fill>
    </x:dxf>
    <x:dxf>
      <x:font>
        <x:color rgb="FF236B35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02be73f8d24d45" /><Relationship Type="http://schemas.openxmlformats.org/officeDocument/2006/relationships/theme" Target="/xl/theme/theme1.xml" Id="Rb04eeabfcffe48c2" /><Relationship Type="http://schemas.openxmlformats.org/officeDocument/2006/relationships/sharedStrings" Target="/xl/sharedStrings.xml" Id="R67468ae2024347db" /><Relationship Type="http://schemas.openxmlformats.org/officeDocument/2006/relationships/worksheet" Target="/xl/worksheets/sheet1.xml" Id="R388e289427774ac5" /><Relationship Type="http://schemas.openxmlformats.org/officeDocument/2006/relationships/worksheet" Target="/xl/worksheets/sheet2.xml" Id="R66a2659e80ee4773" /><Relationship Type="http://schemas.openxmlformats.org/officeDocument/2006/relationships/worksheet" Target="/xl/worksheets/sheet3.xml" Id="Rc9ceac7952094a5c" /><Relationship Type="http://schemas.openxmlformats.org/officeDocument/2006/relationships/worksheet" Target="/xl/worksheets/sheet4.xml" Id="Rc2415da6dc064da2" /><Relationship Type="http://schemas.openxmlformats.org/officeDocument/2006/relationships/worksheet" Target="/xl/worksheets/sheet5.xml" Id="R6b44211aaf6742f3" /><Relationship Type="http://schemas.openxmlformats.org/officeDocument/2006/relationships/worksheet" Target="/xl/worksheets/sheet6.xml" Id="R7c87a75d283a4c10" /><Relationship Type="http://schemas.openxmlformats.org/officeDocument/2006/relationships/worksheet" Target="/xl/worksheets/sheet7.xml" Id="Rdc402ddfb0ec4f6c" /><Relationship Type="http://schemas.openxmlformats.org/officeDocument/2006/relationships/worksheet" Target="/xl/worksheets/sheet8.xml" Id="Rf3b5a168ecdf4c9b" /></Relationships>
</file>

<file path=xl/tables/table1.xml><?xml version="1.0" encoding="utf-8"?>
<x:table xmlns:x="http://schemas.openxmlformats.org/spreadsheetml/2006/main" id="1" name="SkuMasterTable" displayName="SkuMasterTable" ref="A8:Q303" headerRowCount="1" totalsRowCount="0" totalsRowShown="0">
  <x:tableColumns count="17">
    <x:tableColumn id="1" name="Final SKU"/>
    <x:tableColumn id="2" name="Existing SKU"/>
    <x:tableColumn id="3" name="Style Code"/>
    <x:tableColumn id="4" name="Published Style Name"/>
    <x:tableColumn id="5" name="Product Type"/>
    <x:tableColumn id="6" name="Color"/>
    <x:tableColumn id="7" name="Color Code"/>
    <x:tableColumn id="8" name="Size"/>
    <x:tableColumn id="9" name="Live Price (USD)"/>
    <x:tableColumn id="10" name="Fulfillment Source"/>
    <x:tableColumn id="11" name="Bin Location"/>
    <x:tableColumn id="12" name="Supplier ID"/>
    <x:tableColumn id="13" name="Website Status"/>
    <x:tableColumn id="14" name="Product URL"/>
    <x:tableColumn id="15" name="Source Note"/>
    <x:tableColumn id="16" name="Barcode Value"/>
    <x:tableColumn id="17" name="Collision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yleRegisterTable" displayName="StyleRegisterTable" ref="A4:I64" headerRowCount="1" totalsRowCount="0" totalsRowShown="0">
  <x:tableColumns count="9">
    <x:tableColumn id="1" name="Style Code"/>
    <x:tableColumn id="2" name="Published Style Name"/>
    <x:tableColumn id="3" name="Product Type"/>
    <x:tableColumn id="4" name="Status"/>
    <x:tableColumn id="5" name="Published Order"/>
    <x:tableColumn id="6" name="Published Colors"/>
    <x:tableColumn id="7" name="Published Sizes"/>
    <x:tableColumn id="8" name="Fulfillment Source"/>
    <x:tableColumn id="9" name="Product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efixTable" displayName="PrefixTable" ref="A4:F13" headerRowCount="1" totalsRowCount="0" totalsRowShown="0">
  <x:tableColumns count="6">
    <x:tableColumn id="1" name="Product Type"/>
    <x:tableColumn id="2" name="Prefix"/>
    <x:tableColumn id="3" name="First Code"/>
    <x:tableColumn id="4" name="Next Unused"/>
    <x:tableColumn id="5" name="Rule"/>
    <x:tableColumn id="6" name="Example SKU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lorCodeTable" displayName="ColorCodeTable" ref="A4:D37" headerRowCount="1" totalsRowCount="0" totalsRowShown="0">
  <x:tableColumns count="4">
    <x:tableColumn id="1" name="Official Color"/>
    <x:tableColumn id="2" name="Color Code"/>
    <x:tableColumn id="3" name="Currently Published"/>
    <x:tableColumn id="4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upplierDirectoryTable" displayName="SupplierDirectoryTable" ref="A4:I12" headerRowCount="1" totalsRowCount="0" totalsRowShown="0">
  <x:tableColumns count="9">
    <x:tableColumn id="1" name="Supplier ID"/>
    <x:tableColumn id="2" name="Company Name"/>
    <x:tableColumn id="3" name="Contact Email / Login"/>
    <x:tableColumn id="4" name="Countries They Ship To"/>
    <x:tableColumn id="5" name="Typical Processing Time"/>
    <x:tableColumn id="6" name="Ships DDP?"/>
    <x:tableColumn id="7" name="Product Identification Method"/>
    <x:tableColumn id="8" name="Assigned Style Codes / SKUs"/>
    <x:tableColumn id="9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ccessRulesTable" displayName="AccessRulesTable" ref="A4:F13" headerRowCount="1" totalsRowCount="0" totalsRowShown="0">
  <x:tableColumns count="6">
    <x:tableColumn id="1" name="Information / Action"/>
    <x:tableColumn id="2" name="Klarelle Admin"/>
    <x:tableColumn id="3" name="Assigned Supplier"/>
    <x:tableColumn id="4" name="Other Suppliers"/>
    <x:tableColumn id="5" name="Customer"/>
    <x:tableColumn id="6" name="Ru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asyshipChecksTable" displayName="EasyshipChecksTable" ref="A4:E9" headerRowCount="1" totalsRowCount="0" totalsRowShown="0">
  <x:tableColumns count="5">
    <x:tableColumn id="1" name="Check"/>
    <x:tableColumn id="2" name="Expected Setting"/>
    <x:tableColumn id="3" name="Current Confirmation"/>
    <x:tableColumn id="4" name="How to Verify"/>
    <x:tableColumn id="5" name="Owner / Evide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ebsiteChecksTable" displayName="WebsiteChecksTable" ref="A4:F12" headerRowCount="1" totalsRowCount="0" totalsRowShown="0">
  <x:tableColumns count="6">
    <x:tableColumn id="1" name="Priority"/>
    <x:tableColumn id="2" name="Product / Area"/>
    <x:tableColumn id="3" name="Finding"/>
    <x:tableColumn id="4" name="Required Action"/>
    <x:tableColumn id="5" name="Source UR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a778e3c8eb4c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4a7eca53854c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abc9be57ab04c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cd21f67956b47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87120fce40e4b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d55b1e7ca924e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09239de0cd54d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879cf07bd9448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7.219999313354492" hidden="0" customWidth="1"/>
    <x:col min="3" max="3" width="8.329999923706055" hidden="0" customWidth="1"/>
    <x:col min="4" max="4" width="22.780000686645508" hidden="0" customWidth="1"/>
    <x:col min="5" max="5" width="10" hidden="0" customWidth="1"/>
    <x:col min="6" max="6" width="13.329999923706055" hidden="0" customWidth="1"/>
    <x:col min="7" max="7" width="9.109999656677246" hidden="0" customWidth="1"/>
    <x:col min="8" max="8" width="6.889999866485596" hidden="0" customWidth="1"/>
    <x:col min="9" max="9" width="10.670000076293945" hidden="0" customWidth="1"/>
    <x:col min="10" max="10" width="15" hidden="0" customWidth="1"/>
    <x:col min="11" max="11" width="11.670000076293945" hidden="0" customWidth="1"/>
    <x:col min="12" max="12" width="10" hidden="0" customWidth="1"/>
    <x:col min="13" max="13" width="13.890000343322754" hidden="0" customWidth="1"/>
    <x:col min="14" max="14" width="35.560001373291016" hidden="0" customWidth="1"/>
    <x:col min="15" max="15" width="30" hidden="0" customWidth="1"/>
    <x:col min="16" max="16" width="17.780000686645508" hidden="0" customWidth="1"/>
    <x:col min="17" max="17" width="10.5600004196167" hidden="0" customWidth="1"/>
  </x:cols>
  <x:sheetData>
    <x:row r="1" ht="30" customHeight="1">
      <x:c r="A1" s="106" t="str">
        <x:v>KLARELLE SKU MASTER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106"/>
      <x:c r="P1" s="106"/>
      <x:c r="Q1" s="106"/>
    </x:row>
    <x:row r="2" ht="22" customHeight="1">
      <x:c r="A2" s="107" t="str">
        <x:v>Variant-level codes for website setup, barcodes, picking, packing and supplier routing.</x:v>
      </x:c>
      <x:c r="B2" s="107"/>
      <x:c r="C2" s="107"/>
      <x:c r="D2" s="107"/>
      <x:c r="E2" s="107"/>
      <x:c r="F2" s="107"/>
      <x:c r="G2" s="107"/>
      <x:c r="H2" s="107"/>
      <x:c r="I2" s="107"/>
      <x:c r="J2" s="107"/>
      <x:c r="K2" s="107"/>
      <x:c r="L2" s="107"/>
      <x:c r="M2" s="107"/>
      <x:c r="N2" s="107"/>
      <x:c r="O2" s="107"/>
      <x:c r="P2" s="107"/>
      <x:c r="Q2" s="107"/>
    </x:row>
    <x:row r="3">
      <x:c r="A3" s="108"/>
      <x:c r="B3" s="108"/>
      <x:c r="C3" s="108"/>
      <x:c r="D3" s="108"/>
      <x:c r="E3" s="108"/>
      <x:c r="F3" s="108"/>
      <x:c r="G3" s="108"/>
      <x:c r="H3" s="108"/>
      <x:c r="I3" s="108"/>
      <x:c r="J3" s="108"/>
      <x:c r="K3" s="108"/>
      <x:c r="L3" s="108"/>
      <x:c r="M3" s="108"/>
      <x:c r="N3" s="108"/>
      <x:c r="O3" s="108"/>
      <x:c r="P3" s="108"/>
      <x:c r="Q3" s="108"/>
    </x:row>
    <x:row r="4">
      <x:c r="A4" s="119" t="str">
        <x:v>PUBLISHED PRODUCTS</x:v>
      </x:c>
      <x:c r="B4" s="119"/>
      <x:c r="C4" s="108"/>
      <x:c r="D4" s="119" t="str">
        <x:v>SKU VARIANTS</x:v>
      </x:c>
      <x:c r="E4" s="119"/>
      <x:c r="F4" s="108"/>
      <x:c r="G4" s="119" t="str">
        <x:v>NEXT UNUSED DRESS CODE</x:v>
      </x:c>
      <x:c r="H4" s="119"/>
      <x:c r="I4" s="108"/>
      <x:c r="J4" s="119" t="str">
        <x:v>IMPORTANT</x:v>
      </x:c>
      <x:c r="K4" s="119"/>
      <x:c r="L4" s="119"/>
      <x:c r="M4" s="119"/>
      <x:c r="N4" s="119"/>
      <x:c r="O4" s="119"/>
      <x:c r="P4" s="119"/>
      <x:c r="Q4" s="119"/>
    </x:row>
    <x:row r="5">
      <x:c r="A5" s="136" t="n">
        <x:v>60</x:v>
      </x:c>
      <x:c r="B5" s="137"/>
      <x:c r="C5" s="137"/>
      <x:c r="D5" s="137" t="n">
        <x:f>COUNTA(A9:A303)</x:f>
        <x:v>295</x:v>
      </x:c>
      <x:c r="E5" s="137"/>
      <x:c r="F5" s="137"/>
      <x:c r="G5" s="137" t="str">
        <x:v>D060</x:v>
      </x:c>
      <x:c r="H5" s="137"/>
      <x:c r="I5" s="137"/>
      <x:c r="J5" s="137" t="str">
        <x:v>Existing SKUs always win. Never change an existing SKU when a name, color label or retail price changes.</x:v>
      </x:c>
      <x:c r="K5" s="137"/>
      <x:c r="L5" s="137"/>
      <x:c r="M5" s="137"/>
      <x:c r="N5" s="137"/>
      <x:c r="O5" s="137"/>
      <x:c r="P5" s="137"/>
      <x:c r="Q5" s="138"/>
    </x:row>
    <x:row r="6">
      <x:c r="A6" s="108"/>
      <x:c r="B6" s="108"/>
      <x:c r="C6" s="108"/>
      <x:c r="D6" s="108"/>
      <x:c r="E6" s="108"/>
      <x:c r="F6" s="108"/>
      <x:c r="G6" s="108"/>
      <x:c r="H6" s="108"/>
      <x:c r="I6" s="108"/>
      <x:c r="J6" s="108"/>
      <x:c r="K6" s="108"/>
      <x:c r="L6" s="108"/>
      <x:c r="M6" s="108"/>
      <x:c r="N6" s="108"/>
      <x:c r="O6" s="108"/>
      <x:c r="P6" s="108"/>
      <x:c r="Q6" s="108"/>
    </x:row>
    <x:row r="7">
      <x:c r="A7" s="108"/>
      <x:c r="B7" s="108"/>
      <x:c r="C7" s="108"/>
      <x:c r="D7" s="108"/>
      <x:c r="E7" s="108"/>
      <x:c r="F7" s="108"/>
      <x:c r="G7" s="108"/>
      <x:c r="H7" s="108"/>
      <x:c r="I7" s="108"/>
      <x:c r="J7" s="108"/>
      <x:c r="K7" s="108"/>
      <x:c r="L7" s="108"/>
      <x:c r="M7" s="108"/>
      <x:c r="N7" s="108"/>
      <x:c r="O7" s="108"/>
      <x:c r="P7" s="108"/>
      <x:c r="Q7" s="108"/>
    </x:row>
    <x:row r="8" ht="34" customHeight="1">
      <x:c r="A8" s="109" t="str">
        <x:v>Final SKU</x:v>
      </x:c>
      <x:c r="B8" s="109" t="str">
        <x:v>Existing SKU</x:v>
      </x:c>
      <x:c r="C8" s="109" t="str">
        <x:v>Style Code</x:v>
      </x:c>
      <x:c r="D8" s="109" t="str">
        <x:v>Published Style Name</x:v>
      </x:c>
      <x:c r="E8" s="109" t="str">
        <x:v>Product Type</x:v>
      </x:c>
      <x:c r="F8" s="109" t="str">
        <x:v>Color</x:v>
      </x:c>
      <x:c r="G8" s="109" t="str">
        <x:v>Color Code</x:v>
      </x:c>
      <x:c r="H8" s="109" t="str">
        <x:v>Size</x:v>
      </x:c>
      <x:c r="I8" s="109" t="str">
        <x:v>Live Price (USD)</x:v>
      </x:c>
      <x:c r="J8" s="109" t="str">
        <x:v>Fulfillment Source</x:v>
      </x:c>
      <x:c r="K8" s="109" t="str">
        <x:v>Bin Location</x:v>
      </x:c>
      <x:c r="L8" s="109" t="str">
        <x:v>Supplier ID</x:v>
      </x:c>
      <x:c r="M8" s="109" t="str">
        <x:v>Website Status</x:v>
      </x:c>
      <x:c r="N8" s="109" t="str">
        <x:v>Product URL</x:v>
      </x:c>
      <x:c r="O8" s="109" t="str">
        <x:v>Source Note</x:v>
      </x:c>
      <x:c r="P8" s="109" t="str">
        <x:v>Barcode Value</x:v>
      </x:c>
      <x:c r="Q8" s="109" t="str">
        <x:v>Collision Check</x:v>
      </x:c>
    </x:row>
    <x:row r="9" ht="24" customHeight="1">
      <x:c r="A9" s="139" t="str">
        <x:f>IF(B9&lt;&gt;"",B9,"KLA-"&amp;C9&amp;"-"&amp;G9&amp;"-"&amp;H9)</x:f>
        <x:v>KLA-D001-BLK-L</x:v>
      </x:c>
      <x:c r="B9" s="140" t="str">
        <x:v>KLA-D001-BLK-L</x:v>
      </x:c>
      <x:c r="C9" s="141" t="str">
        <x:v>D001</x:v>
      </x:c>
      <x:c r="D9" s="110" t="str">
        <x:v>Mia-Analise Gown</x:v>
      </x:c>
      <x:c r="E9" s="110" t="str">
        <x:v>Dress</x:v>
      </x:c>
      <x:c r="F9" s="110" t="str">
        <x:v>Black</x:v>
      </x:c>
      <x:c r="G9" s="141" t="str">
        <x:v>BLK</x:v>
      </x:c>
      <x:c r="H9" s="141" t="str">
        <x:v>L</x:v>
      </x:c>
      <x:c r="I9" s="142" t="n">
        <x:v>239</x:v>
      </x:c>
      <x:c r="J9" s="110" t="str">
        <x:v>International Warehouse</x:v>
      </x:c>
      <x:c r="K9" s="143" t="str">
        <x:v>A01-L</x:v>
      </x:c>
      <x:c r="L9" s="143" t="str"/>
      <x:c r="M9" s="110" t="str">
        <x:v>Published</x:v>
      </x:c>
      <x:c r="N9" s="111" t="str">
        <x:v>https://www.klarelle.store/product/c89a95e7-605d-4f09-a96b-6aec78d7b1bc</x:v>
      </x:c>
      <x:c r="O9" s="111" t="str">
        <x:v>Existing SKU preserved</x:v>
      </x:c>
      <x:c r="P9" s="110" t="str">
        <x:f>A9</x:f>
        <x:v>KLA-D001-BLK-L</x:v>
      </x:c>
      <x:c r="Q9" s="110" t="str">
        <x:f>IF(COUNTIF($A$9:$A$303,A9)&gt;1,"DUPLICATE","OK")</x:f>
        <x:v>OK</x:v>
      </x:c>
    </x:row>
    <x:row r="10" ht="24" customHeight="1">
      <x:c r="A10" s="144" t="str">
        <x:f>IF(B10&lt;&gt;"",B10,"KLA-"&amp;C10&amp;"-"&amp;G10&amp;"-"&amp;H10)</x:f>
        <x:v>KLA-D001-BLK-M</x:v>
      </x:c>
      <x:c r="B10" s="145" t="str">
        <x:v>KLA-D001-BLK-M</x:v>
      </x:c>
      <x:c r="C10" s="146" t="str">
        <x:v>D001</x:v>
      </x:c>
      <x:c r="D10" s="112" t="str">
        <x:v>Mia-Analise Gown</x:v>
      </x:c>
      <x:c r="E10" s="112" t="str">
        <x:v>Dress</x:v>
      </x:c>
      <x:c r="F10" s="112" t="str">
        <x:v>Black</x:v>
      </x:c>
      <x:c r="G10" s="146" t="str">
        <x:v>BLK</x:v>
      </x:c>
      <x:c r="H10" s="146" t="str">
        <x:v>M</x:v>
      </x:c>
      <x:c r="I10" s="147" t="n">
        <x:v>239</x:v>
      </x:c>
      <x:c r="J10" s="112" t="str">
        <x:v>International Warehouse</x:v>
      </x:c>
      <x:c r="K10" s="148" t="str">
        <x:v>A01-M</x:v>
      </x:c>
      <x:c r="L10" s="148" t="str"/>
      <x:c r="M10" s="112" t="str">
        <x:v>Published</x:v>
      </x:c>
      <x:c r="N10" s="113" t="str">
        <x:v>https://www.klarelle.store/product/c89a95e7-605d-4f09-a96b-6aec78d7b1bc</x:v>
      </x:c>
      <x:c r="O10" s="113" t="str">
        <x:v>Existing SKU preserved</x:v>
      </x:c>
      <x:c r="P10" s="112" t="str">
        <x:f>A10</x:f>
        <x:v>KLA-D001-BLK-M</x:v>
      </x:c>
      <x:c r="Q10" s="112" t="str">
        <x:f>IF(COUNTIF($A$9:$A$303,A10)&gt;1,"DUPLICATE","OK")</x:f>
        <x:v>OK</x:v>
      </x:c>
    </x:row>
    <x:row r="11" ht="24" customHeight="1">
      <x:c r="A11" s="144" t="str">
        <x:f>IF(B11&lt;&gt;"",B11,"KLA-"&amp;C11&amp;"-"&amp;G11&amp;"-"&amp;H11)</x:f>
        <x:v>KLA-D001-BLK-S</x:v>
      </x:c>
      <x:c r="B11" s="145" t="str">
        <x:v>KLA-D001-BLK-S</x:v>
      </x:c>
      <x:c r="C11" s="146" t="str">
        <x:v>D001</x:v>
      </x:c>
      <x:c r="D11" s="112" t="str">
        <x:v>Mia-Analise Gown</x:v>
      </x:c>
      <x:c r="E11" s="112" t="str">
        <x:v>Dress</x:v>
      </x:c>
      <x:c r="F11" s="112" t="str">
        <x:v>Black</x:v>
      </x:c>
      <x:c r="G11" s="146" t="str">
        <x:v>BLK</x:v>
      </x:c>
      <x:c r="H11" s="146" t="str">
        <x:v>S</x:v>
      </x:c>
      <x:c r="I11" s="147" t="n">
        <x:v>239</x:v>
      </x:c>
      <x:c r="J11" s="112" t="str">
        <x:v>International Warehouse</x:v>
      </x:c>
      <x:c r="K11" s="148" t="str">
        <x:v>A01-S</x:v>
      </x:c>
      <x:c r="L11" s="148" t="str"/>
      <x:c r="M11" s="112" t="str">
        <x:v>Published</x:v>
      </x:c>
      <x:c r="N11" s="113" t="str">
        <x:v>https://www.klarelle.store/product/c89a95e7-605d-4f09-a96b-6aec78d7b1bc</x:v>
      </x:c>
      <x:c r="O11" s="113" t="str">
        <x:v>Existing SKU preserved</x:v>
      </x:c>
      <x:c r="P11" s="112" t="str">
        <x:f>A11</x:f>
        <x:v>KLA-D001-BLK-S</x:v>
      </x:c>
      <x:c r="Q11" s="112" t="str">
        <x:f>IF(COUNTIF($A$9:$A$303,A11)&gt;1,"DUPLICATE","OK")</x:f>
        <x:v>OK</x:v>
      </x:c>
    </x:row>
    <x:row r="12" ht="24" customHeight="1">
      <x:c r="A12" s="144" t="str">
        <x:f>IF(B12&lt;&gt;"",B12,"KLA-"&amp;C12&amp;"-"&amp;G12&amp;"-"&amp;H12)</x:f>
        <x:v>KLA-D001-BLK-XL</x:v>
      </x:c>
      <x:c r="B12" s="145" t="str">
        <x:v>KLA-D001-BLK-XL</x:v>
      </x:c>
      <x:c r="C12" s="146" t="str">
        <x:v>D001</x:v>
      </x:c>
      <x:c r="D12" s="112" t="str">
        <x:v>Mia-Analise Gown</x:v>
      </x:c>
      <x:c r="E12" s="112" t="str">
        <x:v>Dress</x:v>
      </x:c>
      <x:c r="F12" s="112" t="str">
        <x:v>Black</x:v>
      </x:c>
      <x:c r="G12" s="146" t="str">
        <x:v>BLK</x:v>
      </x:c>
      <x:c r="H12" s="146" t="str">
        <x:v>XL</x:v>
      </x:c>
      <x:c r="I12" s="147" t="n">
        <x:v>239</x:v>
      </x:c>
      <x:c r="J12" s="112" t="str">
        <x:v>International Warehouse</x:v>
      </x:c>
      <x:c r="K12" s="148" t="str">
        <x:v>A01-XL</x:v>
      </x:c>
      <x:c r="L12" s="148" t="str"/>
      <x:c r="M12" s="112" t="str">
        <x:v>Published</x:v>
      </x:c>
      <x:c r="N12" s="113" t="str">
        <x:v>https://www.klarelle.store/product/c89a95e7-605d-4f09-a96b-6aec78d7b1bc</x:v>
      </x:c>
      <x:c r="O12" s="113" t="str">
        <x:v>Existing SKU preserved</x:v>
      </x:c>
      <x:c r="P12" s="112" t="str">
        <x:f>A12</x:f>
        <x:v>KLA-D001-BLK-XL</x:v>
      </x:c>
      <x:c r="Q12" s="112" t="str">
        <x:f>IF(COUNTIF($A$9:$A$303,A12)&gt;1,"DUPLICATE","OK")</x:f>
        <x:v>OK</x:v>
      </x:c>
    </x:row>
    <x:row r="13" ht="24" customHeight="1">
      <x:c r="A13" s="144" t="str">
        <x:f>IF(B13&lt;&gt;"",B13,"KLA-"&amp;C13&amp;"-"&amp;G13&amp;"-"&amp;H13)</x:f>
        <x:v>KLA-D002-CRM-L</x:v>
      </x:c>
      <x:c r="B13" s="145" t="str"/>
      <x:c r="C13" s="146" t="str">
        <x:v>D002</x:v>
      </x:c>
      <x:c r="D13" s="112" t="str">
        <x:v>Estrallia Fringe Gown</x:v>
      </x:c>
      <x:c r="E13" s="112" t="str">
        <x:v>Dress</x:v>
      </x:c>
      <x:c r="F13" s="112" t="str">
        <x:v>Cream</x:v>
      </x:c>
      <x:c r="G13" s="146" t="str">
        <x:v>CRM</x:v>
      </x:c>
      <x:c r="H13" s="146" t="str">
        <x:v>L</x:v>
      </x:c>
      <x:c r="I13" s="147" t="n">
        <x:v>195</x:v>
      </x:c>
      <x:c r="J13" s="112" t="str">
        <x:v>International Warehouse</x:v>
      </x:c>
      <x:c r="K13" s="148" t="str"/>
      <x:c r="L13" s="148" t="str"/>
      <x:c r="M13" s="112" t="str">
        <x:v>Published</x:v>
      </x:c>
      <x:c r="N13" s="113" t="str">
        <x:v>https://www.klarelle.store/product/418334d5-4109-4f27-8285-c1f68b3851bd</x:v>
      </x:c>
      <x:c r="O13" s="113" t="str">
        <x:v>Supplier-held inventory; no NJ bin unless transferred</x:v>
      </x:c>
      <x:c r="P13" s="112" t="str">
        <x:f>A13</x:f>
        <x:v>KLA-D002-CRM-L</x:v>
      </x:c>
      <x:c r="Q13" s="112" t="str">
        <x:f>IF(COUNTIF($A$9:$A$303,A13)&gt;1,"DUPLICATE","OK")</x:f>
        <x:v>OK</x:v>
      </x:c>
    </x:row>
    <x:row r="14" ht="24" customHeight="1">
      <x:c r="A14" s="144" t="str">
        <x:f>IF(B14&lt;&gt;"",B14,"KLA-"&amp;C14&amp;"-"&amp;G14&amp;"-"&amp;H14)</x:f>
        <x:v>KLA-D002-CRM-M</x:v>
      </x:c>
      <x:c r="B14" s="145" t="str"/>
      <x:c r="C14" s="146" t="str">
        <x:v>D002</x:v>
      </x:c>
      <x:c r="D14" s="112" t="str">
        <x:v>Estrallia Fringe Gown</x:v>
      </x:c>
      <x:c r="E14" s="112" t="str">
        <x:v>Dress</x:v>
      </x:c>
      <x:c r="F14" s="112" t="str">
        <x:v>Cream</x:v>
      </x:c>
      <x:c r="G14" s="146" t="str">
        <x:v>CRM</x:v>
      </x:c>
      <x:c r="H14" s="146" t="str">
        <x:v>M</x:v>
      </x:c>
      <x:c r="I14" s="147" t="n">
        <x:v>195</x:v>
      </x:c>
      <x:c r="J14" s="112" t="str">
        <x:v>International Warehouse</x:v>
      </x:c>
      <x:c r="K14" s="148" t="str"/>
      <x:c r="L14" s="148" t="str"/>
      <x:c r="M14" s="112" t="str">
        <x:v>Published</x:v>
      </x:c>
      <x:c r="N14" s="113" t="str">
        <x:v>https://www.klarelle.store/product/418334d5-4109-4f27-8285-c1f68b3851bd</x:v>
      </x:c>
      <x:c r="O14" s="113" t="str">
        <x:v>Supplier-held inventory; no NJ bin unless transferred</x:v>
      </x:c>
      <x:c r="P14" s="112" t="str">
        <x:f>A14</x:f>
        <x:v>KLA-D002-CRM-M</x:v>
      </x:c>
      <x:c r="Q14" s="112" t="str">
        <x:f>IF(COUNTIF($A$9:$A$303,A14)&gt;1,"DUPLICATE","OK")</x:f>
        <x:v>OK</x:v>
      </x:c>
    </x:row>
    <x:row r="15" ht="24" customHeight="1">
      <x:c r="A15" s="144" t="str">
        <x:f>IF(B15&lt;&gt;"",B15,"KLA-"&amp;C15&amp;"-"&amp;G15&amp;"-"&amp;H15)</x:f>
        <x:v>KLA-D002-CRM-XL</x:v>
      </x:c>
      <x:c r="B15" s="145" t="str"/>
      <x:c r="C15" s="146" t="str">
        <x:v>D002</x:v>
      </x:c>
      <x:c r="D15" s="112" t="str">
        <x:v>Estrallia Fringe Gown</x:v>
      </x:c>
      <x:c r="E15" s="112" t="str">
        <x:v>Dress</x:v>
      </x:c>
      <x:c r="F15" s="112" t="str">
        <x:v>Cream</x:v>
      </x:c>
      <x:c r="G15" s="146" t="str">
        <x:v>CRM</x:v>
      </x:c>
      <x:c r="H15" s="146" t="str">
        <x:v>XL</x:v>
      </x:c>
      <x:c r="I15" s="147" t="n">
        <x:v>195</x:v>
      </x:c>
      <x:c r="J15" s="112" t="str">
        <x:v>International Warehouse</x:v>
      </x:c>
      <x:c r="K15" s="148" t="str"/>
      <x:c r="L15" s="148" t="str"/>
      <x:c r="M15" s="112" t="str">
        <x:v>Published</x:v>
      </x:c>
      <x:c r="N15" s="113" t="str">
        <x:v>https://www.klarelle.store/product/418334d5-4109-4f27-8285-c1f68b3851bd</x:v>
      </x:c>
      <x:c r="O15" s="113" t="str">
        <x:v>Supplier-held inventory; no NJ bin unless transferred</x:v>
      </x:c>
      <x:c r="P15" s="112" t="str">
        <x:f>A15</x:f>
        <x:v>KLA-D002-CRM-XL</x:v>
      </x:c>
      <x:c r="Q15" s="112" t="str">
        <x:f>IF(COUNTIF($A$9:$A$303,A15)&gt;1,"DUPLICATE","OK")</x:f>
        <x:v>OK</x:v>
      </x:c>
    </x:row>
    <x:row r="16" ht="24" customHeight="1">
      <x:c r="A16" s="144" t="str">
        <x:f>IF(B16&lt;&gt;"",B16,"KLA-"&amp;C16&amp;"-"&amp;G16&amp;"-"&amp;H16)</x:f>
        <x:v>KLA-D002-MNT-L</x:v>
      </x:c>
      <x:c r="B16" s="145" t="str">
        <x:v>KLA-D002-MNT-L</x:v>
      </x:c>
      <x:c r="C16" s="146" t="str">
        <x:v>D002</x:v>
      </x:c>
      <x:c r="D16" s="112" t="str">
        <x:v>Estrallia Fringe Gown</x:v>
      </x:c>
      <x:c r="E16" s="112" t="str">
        <x:v>Dress</x:v>
      </x:c>
      <x:c r="F16" s="112" t="str">
        <x:v>Mint</x:v>
      </x:c>
      <x:c r="G16" s="146" t="str">
        <x:v>MNT</x:v>
      </x:c>
      <x:c r="H16" s="146" t="str">
        <x:v>L</x:v>
      </x:c>
      <x:c r="I16" s="147" t="n">
        <x:v>185</x:v>
      </x:c>
      <x:c r="J16" s="112" t="str">
        <x:v>Needs verification</x:v>
      </x:c>
      <x:c r="K16" s="148" t="str">
        <x:v>A02-L</x:v>
      </x:c>
      <x:c r="L16" s="148" t="str"/>
      <x:c r="M16" s="112" t="str">
        <x:v>Legacy — Verify</x:v>
      </x:c>
      <x:c r="N16" s="113" t="str">
        <x:v>https://www.klarelle.store/product/418334d5-4109-4f27-8285-c1f68b3851bd</x:v>
      </x:c>
      <x:c r="O16" s="113" t="str">
        <x:v>Existing SKU preserved; this color/size is not currently shown on the live product page.</x:v>
      </x:c>
      <x:c r="P16" s="112" t="str">
        <x:f>A16</x:f>
        <x:v>KLA-D002-MNT-L</x:v>
      </x:c>
      <x:c r="Q16" s="112" t="str">
        <x:f>IF(COUNTIF($A$9:$A$303,A16)&gt;1,"DUPLICATE","OK")</x:f>
        <x:v>OK</x:v>
      </x:c>
    </x:row>
    <x:row r="17" ht="24" customHeight="1">
      <x:c r="A17" s="144" t="str">
        <x:f>IF(B17&lt;&gt;"",B17,"KLA-"&amp;C17&amp;"-"&amp;G17&amp;"-"&amp;H17)</x:f>
        <x:v>KLA-D002-MNT-XL</x:v>
      </x:c>
      <x:c r="B17" s="145" t="str">
        <x:v>KLA-D002-MNT-XL</x:v>
      </x:c>
      <x:c r="C17" s="146" t="str">
        <x:v>D002</x:v>
      </x:c>
      <x:c r="D17" s="112" t="str">
        <x:v>Estrallia Fringe Gown</x:v>
      </x:c>
      <x:c r="E17" s="112" t="str">
        <x:v>Dress</x:v>
      </x:c>
      <x:c r="F17" s="112" t="str">
        <x:v>Mint</x:v>
      </x:c>
      <x:c r="G17" s="146" t="str">
        <x:v>MNT</x:v>
      </x:c>
      <x:c r="H17" s="146" t="str">
        <x:v>XL</x:v>
      </x:c>
      <x:c r="I17" s="147" t="n">
        <x:v>185</x:v>
      </x:c>
      <x:c r="J17" s="112" t="str">
        <x:v>Needs verification</x:v>
      </x:c>
      <x:c r="K17" s="148" t="str">
        <x:v>A02-XL</x:v>
      </x:c>
      <x:c r="L17" s="148" t="str"/>
      <x:c r="M17" s="112" t="str">
        <x:v>Legacy — Verify</x:v>
      </x:c>
      <x:c r="N17" s="113" t="str">
        <x:v>https://www.klarelle.store/product/418334d5-4109-4f27-8285-c1f68b3851bd</x:v>
      </x:c>
      <x:c r="O17" s="113" t="str">
        <x:v>Existing SKU preserved; this color/size is not currently shown on the live product page.</x:v>
      </x:c>
      <x:c r="P17" s="112" t="str">
        <x:f>A17</x:f>
        <x:v>KLA-D002-MNT-XL</x:v>
      </x:c>
      <x:c r="Q17" s="112" t="str">
        <x:f>IF(COUNTIF($A$9:$A$303,A17)&gt;1,"DUPLICATE","OK")</x:f>
        <x:v>OK</x:v>
      </x:c>
    </x:row>
    <x:row r="18" ht="24" customHeight="1">
      <x:c r="A18" s="144" t="str">
        <x:f>IF(B18&lt;&gt;"",B18,"KLA-"&amp;C18&amp;"-"&amp;G18&amp;"-"&amp;H18)</x:f>
        <x:v>KLA-D003-GLD-M</x:v>
      </x:c>
      <x:c r="B18" s="145" t="str"/>
      <x:c r="C18" s="146" t="str">
        <x:v>D003</x:v>
      </x:c>
      <x:c r="D18" s="112" t="str">
        <x:v>Zarellia Rhinestone Gown</x:v>
      </x:c>
      <x:c r="E18" s="112" t="str">
        <x:v>Dress</x:v>
      </x:c>
      <x:c r="F18" s="112" t="str">
        <x:v>Gold</x:v>
      </x:c>
      <x:c r="G18" s="146" t="str">
        <x:v>GLD</x:v>
      </x:c>
      <x:c r="H18" s="146" t="str">
        <x:v>M</x:v>
      </x:c>
      <x:c r="I18" s="147" t="n">
        <x:v>140</x:v>
      </x:c>
      <x:c r="J18" s="112" t="str">
        <x:v>International Warehouse</x:v>
      </x:c>
      <x:c r="K18" s="148" t="str"/>
      <x:c r="L18" s="148" t="str"/>
      <x:c r="M18" s="112" t="str">
        <x:v>Published</x:v>
      </x:c>
      <x:c r="N18" s="113" t="str">
        <x:v>https://www.klarelle.store/product/c8d05302-dc58-485e-9e01-c855c4c5a091</x:v>
      </x:c>
      <x:c r="O18" s="113" t="str">
        <x:v>Supplier-held inventory; no NJ bin unless transferred</x:v>
      </x:c>
      <x:c r="P18" s="112" t="str">
        <x:f>A18</x:f>
        <x:v>KLA-D003-GLD-M</x:v>
      </x:c>
      <x:c r="Q18" s="112" t="str">
        <x:f>IF(COUNTIF($A$9:$A$303,A18)&gt;1,"DUPLICATE","OK")</x:f>
        <x:v>OK</x:v>
      </x:c>
    </x:row>
    <x:row r="19" ht="24" customHeight="1">
      <x:c r="A19" s="144" t="str">
        <x:f>IF(B19&lt;&gt;"",B19,"KLA-"&amp;C19&amp;"-"&amp;G19&amp;"-"&amp;H19)</x:f>
        <x:v>KLA-D003-GLD-S</x:v>
      </x:c>
      <x:c r="B19" s="145" t="str"/>
      <x:c r="C19" s="146" t="str">
        <x:v>D003</x:v>
      </x:c>
      <x:c r="D19" s="112" t="str">
        <x:v>Zarellia Rhinestone Gown</x:v>
      </x:c>
      <x:c r="E19" s="112" t="str">
        <x:v>Dress</x:v>
      </x:c>
      <x:c r="F19" s="112" t="str">
        <x:v>Gold</x:v>
      </x:c>
      <x:c r="G19" s="146" t="str">
        <x:v>GLD</x:v>
      </x:c>
      <x:c r="H19" s="146" t="str">
        <x:v>S</x:v>
      </x:c>
      <x:c r="I19" s="147" t="n">
        <x:v>140</x:v>
      </x:c>
      <x:c r="J19" s="112" t="str">
        <x:v>International Warehouse</x:v>
      </x:c>
      <x:c r="K19" s="148" t="str"/>
      <x:c r="L19" s="148" t="str"/>
      <x:c r="M19" s="112" t="str">
        <x:v>Published</x:v>
      </x:c>
      <x:c r="N19" s="113" t="str">
        <x:v>https://www.klarelle.store/product/c8d05302-dc58-485e-9e01-c855c4c5a091</x:v>
      </x:c>
      <x:c r="O19" s="113" t="str">
        <x:v>Supplier-held inventory; no NJ bin unless transferred</x:v>
      </x:c>
      <x:c r="P19" s="112" t="str">
        <x:f>A19</x:f>
        <x:v>KLA-D003-GLD-S</x:v>
      </x:c>
      <x:c r="Q19" s="112" t="str">
        <x:f>IF(COUNTIF($A$9:$A$303,A19)&gt;1,"DUPLICATE","OK")</x:f>
        <x:v>OK</x:v>
      </x:c>
    </x:row>
    <x:row r="20" ht="24" customHeight="1">
      <x:c r="A20" s="144" t="str">
        <x:f>IF(B20&lt;&gt;"",B20,"KLA-"&amp;C20&amp;"-"&amp;G20&amp;"-"&amp;H20)</x:f>
        <x:v>KLA-D003-LIM-OS</x:v>
      </x:c>
      <x:c r="B20" s="145" t="str">
        <x:v>KLA-D003-LIM-OS</x:v>
      </x:c>
      <x:c r="C20" s="146" t="str">
        <x:v>D003</x:v>
      </x:c>
      <x:c r="D20" s="112" t="str">
        <x:v>Zarellia Rhinestone Gown</x:v>
      </x:c>
      <x:c r="E20" s="112" t="str">
        <x:v>Dress</x:v>
      </x:c>
      <x:c r="F20" s="112" t="str">
        <x:v>Lime</x:v>
      </x:c>
      <x:c r="G20" s="146" t="str">
        <x:v>LIM</x:v>
      </x:c>
      <x:c r="H20" s="146" t="str">
        <x:v>OS</x:v>
      </x:c>
      <x:c r="I20" s="147" t="n">
        <x:v>140</x:v>
      </x:c>
      <x:c r="J20" s="112" t="str">
        <x:v>Needs verification</x:v>
      </x:c>
      <x:c r="K20" s="148" t="str">
        <x:v>A03-OS</x:v>
      </x:c>
      <x:c r="L20" s="148" t="str"/>
      <x:c r="M20" s="112" t="str">
        <x:v>Legacy — Verify</x:v>
      </x:c>
      <x:c r="N20" s="113" t="str">
        <x:v>https://www.klarelle.store/product/c8d05302-dc58-485e-9e01-c855c4c5a091</x:v>
      </x:c>
      <x:c r="O20" s="113" t="str">
        <x:v>Existing SKU preserved; this color/size is not currently shown on the live product page.</x:v>
      </x:c>
      <x:c r="P20" s="112" t="str">
        <x:f>A20</x:f>
        <x:v>KLA-D003-LIM-OS</x:v>
      </x:c>
      <x:c r="Q20" s="112" t="str">
        <x:f>IF(COUNTIF($A$9:$A$303,A20)&gt;1,"DUPLICATE","OK")</x:f>
        <x:v>OK</x:v>
      </x:c>
    </x:row>
    <x:row r="21" ht="24" customHeight="1">
      <x:c r="A21" s="144" t="str">
        <x:f>IF(B21&lt;&gt;"",B21,"KLA-"&amp;C21&amp;"-"&amp;G21&amp;"-"&amp;H21)</x:f>
        <x:v>KLA-D004-WIN-L</x:v>
      </x:c>
      <x:c r="B21" s="145" t="str">
        <x:v>KLA-D004-WIN-L</x:v>
      </x:c>
      <x:c r="C21" s="146" t="str">
        <x:v>D004</x:v>
      </x:c>
      <x:c r="D21" s="112" t="str">
        <x:v>Elaria Rouge Gown</x:v>
      </x:c>
      <x:c r="E21" s="112" t="str">
        <x:v>Dress</x:v>
      </x:c>
      <x:c r="F21" s="112" t="str">
        <x:v>Wine</x:v>
      </x:c>
      <x:c r="G21" s="146" t="str">
        <x:v>WIN</x:v>
      </x:c>
      <x:c r="H21" s="146" t="str">
        <x:v>L</x:v>
      </x:c>
      <x:c r="I21" s="147" t="n">
        <x:v>90</x:v>
      </x:c>
      <x:c r="J21" s="112" t="str">
        <x:v>International Warehouse</x:v>
      </x:c>
      <x:c r="K21" s="148" t="str">
        <x:v>A04-L</x:v>
      </x:c>
      <x:c r="L21" s="148" t="str"/>
      <x:c r="M21" s="112" t="str">
        <x:v>Published</x:v>
      </x:c>
      <x:c r="N21" s="113" t="str">
        <x:v>https://www.klarelle.store/product/b5fd8cbb-8295-4e44-b24d-294ee576965d</x:v>
      </x:c>
      <x:c r="O21" s="113" t="str">
        <x:v>Existing SKU preserved</x:v>
      </x:c>
      <x:c r="P21" s="112" t="str">
        <x:f>A21</x:f>
        <x:v>KLA-D004-WIN-L</x:v>
      </x:c>
      <x:c r="Q21" s="112" t="str">
        <x:f>IF(COUNTIF($A$9:$A$303,A21)&gt;1,"DUPLICATE","OK")</x:f>
        <x:v>OK</x:v>
      </x:c>
    </x:row>
    <x:row r="22" ht="24" customHeight="1">
      <x:c r="A22" s="144" t="str">
        <x:f>IF(B22&lt;&gt;"",B22,"KLA-"&amp;C22&amp;"-"&amp;G22&amp;"-"&amp;H22)</x:f>
        <x:v>KLA-D004-WIN-M</x:v>
      </x:c>
      <x:c r="B22" s="145" t="str">
        <x:v>KLA-D004-WIN-M</x:v>
      </x:c>
      <x:c r="C22" s="146" t="str">
        <x:v>D004</x:v>
      </x:c>
      <x:c r="D22" s="112" t="str">
        <x:v>Elaria Rouge Gown</x:v>
      </x:c>
      <x:c r="E22" s="112" t="str">
        <x:v>Dress</x:v>
      </x:c>
      <x:c r="F22" s="112" t="str">
        <x:v>Wine</x:v>
      </x:c>
      <x:c r="G22" s="146" t="str">
        <x:v>WIN</x:v>
      </x:c>
      <x:c r="H22" s="146" t="str">
        <x:v>M</x:v>
      </x:c>
      <x:c r="I22" s="147" t="n">
        <x:v>90</x:v>
      </x:c>
      <x:c r="J22" s="112" t="str">
        <x:v>International Warehouse</x:v>
      </x:c>
      <x:c r="K22" s="148" t="str">
        <x:v>A04-M</x:v>
      </x:c>
      <x:c r="L22" s="148" t="str"/>
      <x:c r="M22" s="112" t="str">
        <x:v>Published</x:v>
      </x:c>
      <x:c r="N22" s="113" t="str">
        <x:v>https://www.klarelle.store/product/b5fd8cbb-8295-4e44-b24d-294ee576965d</x:v>
      </x:c>
      <x:c r="O22" s="113" t="str">
        <x:v>Existing SKU preserved</x:v>
      </x:c>
      <x:c r="P22" s="112" t="str">
        <x:f>A22</x:f>
        <x:v>KLA-D004-WIN-M</x:v>
      </x:c>
      <x:c r="Q22" s="112" t="str">
        <x:f>IF(COUNTIF($A$9:$A$303,A22)&gt;1,"DUPLICATE","OK")</x:f>
        <x:v>OK</x:v>
      </x:c>
    </x:row>
    <x:row r="23" ht="24" customHeight="1">
      <x:c r="A23" s="144" t="str">
        <x:f>IF(B23&lt;&gt;"",B23,"KLA-"&amp;C23&amp;"-"&amp;G23&amp;"-"&amp;H23)</x:f>
        <x:v>KLA-D004-WIN-S</x:v>
      </x:c>
      <x:c r="B23" s="145" t="str">
        <x:v>KLA-D004-WIN-S</x:v>
      </x:c>
      <x:c r="C23" s="146" t="str">
        <x:v>D004</x:v>
      </x:c>
      <x:c r="D23" s="112" t="str">
        <x:v>Elaria Rouge Gown</x:v>
      </x:c>
      <x:c r="E23" s="112" t="str">
        <x:v>Dress</x:v>
      </x:c>
      <x:c r="F23" s="112" t="str">
        <x:v>Wine</x:v>
      </x:c>
      <x:c r="G23" s="146" t="str">
        <x:v>WIN</x:v>
      </x:c>
      <x:c r="H23" s="146" t="str">
        <x:v>S</x:v>
      </x:c>
      <x:c r="I23" s="147" t="n">
        <x:v>90</x:v>
      </x:c>
      <x:c r="J23" s="112" t="str">
        <x:v>International Warehouse</x:v>
      </x:c>
      <x:c r="K23" s="148" t="str">
        <x:v>A04-S</x:v>
      </x:c>
      <x:c r="L23" s="148" t="str"/>
      <x:c r="M23" s="112" t="str">
        <x:v>Published</x:v>
      </x:c>
      <x:c r="N23" s="113" t="str">
        <x:v>https://www.klarelle.store/product/b5fd8cbb-8295-4e44-b24d-294ee576965d</x:v>
      </x:c>
      <x:c r="O23" s="113" t="str">
        <x:v>Existing SKU preserved</x:v>
      </x:c>
      <x:c r="P23" s="112" t="str">
        <x:f>A23</x:f>
        <x:v>KLA-D004-WIN-S</x:v>
      </x:c>
      <x:c r="Q23" s="112" t="str">
        <x:f>IF(COUNTIF($A$9:$A$303,A23)&gt;1,"DUPLICATE","OK")</x:f>
        <x:v>OK</x:v>
      </x:c>
    </x:row>
    <x:row r="24" ht="24" customHeight="1">
      <x:c r="A24" s="144" t="str">
        <x:f>IF(B24&lt;&gt;"",B24,"KLA-"&amp;C24&amp;"-"&amp;G24&amp;"-"&amp;H24)</x:f>
        <x:v>KLA-D004-WIN-XL</x:v>
      </x:c>
      <x:c r="B24" s="145" t="str">
        <x:v>KLA-D004-WIN-XL</x:v>
      </x:c>
      <x:c r="C24" s="146" t="str">
        <x:v>D004</x:v>
      </x:c>
      <x:c r="D24" s="112" t="str">
        <x:v>Elaria Rouge Gown</x:v>
      </x:c>
      <x:c r="E24" s="112" t="str">
        <x:v>Dress</x:v>
      </x:c>
      <x:c r="F24" s="112" t="str">
        <x:v>Wine</x:v>
      </x:c>
      <x:c r="G24" s="146" t="str">
        <x:v>WIN</x:v>
      </x:c>
      <x:c r="H24" s="146" t="str">
        <x:v>XL</x:v>
      </x:c>
      <x:c r="I24" s="147" t="n">
        <x:v>90</x:v>
      </x:c>
      <x:c r="J24" s="112" t="str">
        <x:v>International Warehouse</x:v>
      </x:c>
      <x:c r="K24" s="148" t="str">
        <x:v>A04-XL</x:v>
      </x:c>
      <x:c r="L24" s="148" t="str"/>
      <x:c r="M24" s="112" t="str">
        <x:v>Published</x:v>
      </x:c>
      <x:c r="N24" s="113" t="str">
        <x:v>https://www.klarelle.store/product/b5fd8cbb-8295-4e44-b24d-294ee576965d</x:v>
      </x:c>
      <x:c r="O24" s="113" t="str">
        <x:v>Existing SKU preserved</x:v>
      </x:c>
      <x:c r="P24" s="112" t="str">
        <x:f>A24</x:f>
        <x:v>KLA-D004-WIN-XL</x:v>
      </x:c>
      <x:c r="Q24" s="112" t="str">
        <x:f>IF(COUNTIF($A$9:$A$303,A24)&gt;1,"DUPLICATE","OK")</x:f>
        <x:v>OK</x:v>
      </x:c>
    </x:row>
    <x:row r="25" ht="24" customHeight="1">
      <x:c r="A25" s="144" t="str">
        <x:f>IF(B25&lt;&gt;"",B25,"KLA-"&amp;C25&amp;"-"&amp;G25&amp;"-"&amp;H25)</x:f>
        <x:v>KLA-D005-BLU-L</x:v>
      </x:c>
      <x:c r="B25" s="145" t="str">
        <x:v>KLA-D005-BLU-L</x:v>
      </x:c>
      <x:c r="C25" s="146" t="str">
        <x:v>D005</x:v>
      </x:c>
      <x:c r="D25" s="112" t="str">
        <x:v>Elianna Cherise Gown</x:v>
      </x:c>
      <x:c r="E25" s="112" t="str">
        <x:v>Dress</x:v>
      </x:c>
      <x:c r="F25" s="112" t="str">
        <x:v>Blue</x:v>
      </x:c>
      <x:c r="G25" s="146" t="str">
        <x:v>BLU</x:v>
      </x:c>
      <x:c r="H25" s="146" t="str">
        <x:v>L</x:v>
      </x:c>
      <x:c r="I25" s="147" t="n">
        <x:v>115</x:v>
      </x:c>
      <x:c r="J25" s="112" t="str">
        <x:v>Needs verification</x:v>
      </x:c>
      <x:c r="K25" s="148" t="str">
        <x:v>A05-L</x:v>
      </x:c>
      <x:c r="L25" s="148" t="str"/>
      <x:c r="M25" s="112" t="str">
        <x:v>Legacy — Verify</x:v>
      </x:c>
      <x:c r="N25" s="113" t="str">
        <x:v>https://www.klarelle.store/product/6db22c38-669f-4539-a7c4-3d70f087cc54</x:v>
      </x:c>
      <x:c r="O25" s="113" t="str">
        <x:v>Existing SKU preserved; this color/size is not currently shown on the live product page.</x:v>
      </x:c>
      <x:c r="P25" s="112" t="str">
        <x:f>A25</x:f>
        <x:v>KLA-D005-BLU-L</x:v>
      </x:c>
      <x:c r="Q25" s="112" t="str">
        <x:f>IF(COUNTIF($A$9:$A$303,A25)&gt;1,"DUPLICATE","OK")</x:f>
        <x:v>OK</x:v>
      </x:c>
    </x:row>
    <x:row r="26" ht="24" customHeight="1">
      <x:c r="A26" s="144" t="str">
        <x:f>IF(B26&lt;&gt;"",B26,"KLA-"&amp;C26&amp;"-"&amp;G26&amp;"-"&amp;H26)</x:f>
        <x:v>KLA-D005-BLU-M</x:v>
      </x:c>
      <x:c r="B26" s="145" t="str">
        <x:v>KLA-D005-BLU-M</x:v>
      </x:c>
      <x:c r="C26" s="146" t="str">
        <x:v>D005</x:v>
      </x:c>
      <x:c r="D26" s="112" t="str">
        <x:v>Elianna Cherise Gown</x:v>
      </x:c>
      <x:c r="E26" s="112" t="str">
        <x:v>Dress</x:v>
      </x:c>
      <x:c r="F26" s="112" t="str">
        <x:v>Blue</x:v>
      </x:c>
      <x:c r="G26" s="146" t="str">
        <x:v>BLU</x:v>
      </x:c>
      <x:c r="H26" s="146" t="str">
        <x:v>M</x:v>
      </x:c>
      <x:c r="I26" s="147" t="n">
        <x:v>115</x:v>
      </x:c>
      <x:c r="J26" s="112" t="str">
        <x:v>Needs verification</x:v>
      </x:c>
      <x:c r="K26" s="148" t="str">
        <x:v>A05-M</x:v>
      </x:c>
      <x:c r="L26" s="148" t="str"/>
      <x:c r="M26" s="112" t="str">
        <x:v>Legacy — Verify</x:v>
      </x:c>
      <x:c r="N26" s="113" t="str">
        <x:v>https://www.klarelle.store/product/6db22c38-669f-4539-a7c4-3d70f087cc54</x:v>
      </x:c>
      <x:c r="O26" s="113" t="str">
        <x:v>Existing SKU preserved; this color/size is not currently shown on the live product page.</x:v>
      </x:c>
      <x:c r="P26" s="112" t="str">
        <x:f>A26</x:f>
        <x:v>KLA-D005-BLU-M</x:v>
      </x:c>
      <x:c r="Q26" s="112" t="str">
        <x:f>IF(COUNTIF($A$9:$A$303,A26)&gt;1,"DUPLICATE","OK")</x:f>
        <x:v>OK</x:v>
      </x:c>
    </x:row>
    <x:row r="27" ht="24" customHeight="1">
      <x:c r="A27" s="144" t="str">
        <x:f>IF(B27&lt;&gt;"",B27,"KLA-"&amp;C27&amp;"-"&amp;G27&amp;"-"&amp;H27)</x:f>
        <x:v>KLA-D005-SBL-L</x:v>
      </x:c>
      <x:c r="B27" s="145" t="str"/>
      <x:c r="C27" s="146" t="str">
        <x:v>D005</x:v>
      </x:c>
      <x:c r="D27" s="112" t="str">
        <x:v>Elianna Cherise Gown</x:v>
      </x:c>
      <x:c r="E27" s="112" t="str">
        <x:v>Dress</x:v>
      </x:c>
      <x:c r="F27" s="112" t="str">
        <x:v>Sea Blue</x:v>
      </x:c>
      <x:c r="G27" s="146" t="str">
        <x:v>SBL</x:v>
      </x:c>
      <x:c r="H27" s="146" t="str">
        <x:v>L</x:v>
      </x:c>
      <x:c r="I27" s="147" t="n">
        <x:v>118</x:v>
      </x:c>
      <x:c r="J27" s="112" t="str">
        <x:v>International Warehouse</x:v>
      </x:c>
      <x:c r="K27" s="148" t="str"/>
      <x:c r="L27" s="148" t="str"/>
      <x:c r="M27" s="112" t="str">
        <x:v>Published</x:v>
      </x:c>
      <x:c r="N27" s="113" t="str">
        <x:v>https://www.klarelle.store/product/6db22c38-669f-4539-a7c4-3d70f087cc54</x:v>
      </x:c>
      <x:c r="O27" s="113" t="str">
        <x:v>Supplier-held inventory; no NJ bin unless transferred</x:v>
      </x:c>
      <x:c r="P27" s="112" t="str">
        <x:f>A27</x:f>
        <x:v>KLA-D005-SBL-L</x:v>
      </x:c>
      <x:c r="Q27" s="112" t="str">
        <x:f>IF(COUNTIF($A$9:$A$303,A27)&gt;1,"DUPLICATE","OK")</x:f>
        <x:v>OK</x:v>
      </x:c>
    </x:row>
    <x:row r="28" ht="24" customHeight="1">
      <x:c r="A28" s="144" t="str">
        <x:f>IF(B28&lt;&gt;"",B28,"KLA-"&amp;C28&amp;"-"&amp;G28&amp;"-"&amp;H28)</x:f>
        <x:v>KLA-D005-SBL-M</x:v>
      </x:c>
      <x:c r="B28" s="145" t="str"/>
      <x:c r="C28" s="146" t="str">
        <x:v>D005</x:v>
      </x:c>
      <x:c r="D28" s="112" t="str">
        <x:v>Elianna Cherise Gown</x:v>
      </x:c>
      <x:c r="E28" s="112" t="str">
        <x:v>Dress</x:v>
      </x:c>
      <x:c r="F28" s="112" t="str">
        <x:v>Sea Blue</x:v>
      </x:c>
      <x:c r="G28" s="146" t="str">
        <x:v>SBL</x:v>
      </x:c>
      <x:c r="H28" s="146" t="str">
        <x:v>M</x:v>
      </x:c>
      <x:c r="I28" s="147" t="n">
        <x:v>118</x:v>
      </x:c>
      <x:c r="J28" s="112" t="str">
        <x:v>International Warehouse</x:v>
      </x:c>
      <x:c r="K28" s="148" t="str"/>
      <x:c r="L28" s="148" t="str"/>
      <x:c r="M28" s="112" t="str">
        <x:v>Published</x:v>
      </x:c>
      <x:c r="N28" s="113" t="str">
        <x:v>https://www.klarelle.store/product/6db22c38-669f-4539-a7c4-3d70f087cc54</x:v>
      </x:c>
      <x:c r="O28" s="113" t="str">
        <x:v>Supplier-held inventory; no NJ bin unless transferred</x:v>
      </x:c>
      <x:c r="P28" s="112" t="str">
        <x:f>A28</x:f>
        <x:v>KLA-D005-SBL-M</x:v>
      </x:c>
      <x:c r="Q28" s="112" t="str">
        <x:f>IF(COUNTIF($A$9:$A$303,A28)&gt;1,"DUPLICATE","OK")</x:f>
        <x:v>OK</x:v>
      </x:c>
    </x:row>
    <x:row r="29" ht="24" customHeight="1">
      <x:c r="A29" s="144" t="str">
        <x:f>IF(B29&lt;&gt;"",B29,"KLA-"&amp;C29&amp;"-"&amp;G29&amp;"-"&amp;H29)</x:f>
        <x:v>KLA-D005-SBL-S</x:v>
      </x:c>
      <x:c r="B29" s="145" t="str"/>
      <x:c r="C29" s="146" t="str">
        <x:v>D005</x:v>
      </x:c>
      <x:c r="D29" s="112" t="str">
        <x:v>Elianna Cherise Gown</x:v>
      </x:c>
      <x:c r="E29" s="112" t="str">
        <x:v>Dress</x:v>
      </x:c>
      <x:c r="F29" s="112" t="str">
        <x:v>Sea Blue</x:v>
      </x:c>
      <x:c r="G29" s="146" t="str">
        <x:v>SBL</x:v>
      </x:c>
      <x:c r="H29" s="146" t="str">
        <x:v>S</x:v>
      </x:c>
      <x:c r="I29" s="147" t="n">
        <x:v>118</x:v>
      </x:c>
      <x:c r="J29" s="112" t="str">
        <x:v>International Warehouse</x:v>
      </x:c>
      <x:c r="K29" s="148" t="str"/>
      <x:c r="L29" s="148" t="str"/>
      <x:c r="M29" s="112" t="str">
        <x:v>Published</x:v>
      </x:c>
      <x:c r="N29" s="113" t="str">
        <x:v>https://www.klarelle.store/product/6db22c38-669f-4539-a7c4-3d70f087cc54</x:v>
      </x:c>
      <x:c r="O29" s="113" t="str">
        <x:v>Supplier-held inventory; no NJ bin unless transferred</x:v>
      </x:c>
      <x:c r="P29" s="112" t="str">
        <x:f>A29</x:f>
        <x:v>KLA-D005-SBL-S</x:v>
      </x:c>
      <x:c r="Q29" s="112" t="str">
        <x:f>IF(COUNTIF($A$9:$A$303,A29)&gt;1,"DUPLICATE","OK")</x:f>
        <x:v>OK</x:v>
      </x:c>
    </x:row>
    <x:row r="30" ht="24" customHeight="1">
      <x:c r="A30" s="144" t="str">
        <x:f>IF(B30&lt;&gt;"",B30,"KLA-"&amp;C30&amp;"-"&amp;G30&amp;"-"&amp;H30)</x:f>
        <x:v>KLA-D005-SBL-XL</x:v>
      </x:c>
      <x:c r="B30" s="145" t="str"/>
      <x:c r="C30" s="146" t="str">
        <x:v>D005</x:v>
      </x:c>
      <x:c r="D30" s="112" t="str">
        <x:v>Elianna Cherise Gown</x:v>
      </x:c>
      <x:c r="E30" s="112" t="str">
        <x:v>Dress</x:v>
      </x:c>
      <x:c r="F30" s="112" t="str">
        <x:v>Sea Blue</x:v>
      </x:c>
      <x:c r="G30" s="146" t="str">
        <x:v>SBL</x:v>
      </x:c>
      <x:c r="H30" s="146" t="str">
        <x:v>XL</x:v>
      </x:c>
      <x:c r="I30" s="147" t="n">
        <x:v>118</x:v>
      </x:c>
      <x:c r="J30" s="112" t="str">
        <x:v>International Warehouse</x:v>
      </x:c>
      <x:c r="K30" s="148" t="str"/>
      <x:c r="L30" s="148" t="str"/>
      <x:c r="M30" s="112" t="str">
        <x:v>Published</x:v>
      </x:c>
      <x:c r="N30" s="113" t="str">
        <x:v>https://www.klarelle.store/product/6db22c38-669f-4539-a7c4-3d70f087cc54</x:v>
      </x:c>
      <x:c r="O30" s="113" t="str">
        <x:v>Supplier-held inventory; no NJ bin unless transferred</x:v>
      </x:c>
      <x:c r="P30" s="112" t="str">
        <x:f>A30</x:f>
        <x:v>KLA-D005-SBL-XL</x:v>
      </x:c>
      <x:c r="Q30" s="112" t="str">
        <x:f>IF(COUNTIF($A$9:$A$303,A30)&gt;1,"DUPLICATE","OK")</x:f>
        <x:v>OK</x:v>
      </x:c>
    </x:row>
    <x:row r="31" ht="24" customHeight="1">
      <x:c r="A31" s="144" t="str">
        <x:f>IF(B31&lt;&gt;"",B31,"KLA-"&amp;C31&amp;"-"&amp;G31&amp;"-"&amp;H31)</x:f>
        <x:v>KLA-D006-BLK-L</x:v>
      </x:c>
      <x:c r="B31" s="145" t="str">
        <x:v>KLA-D006-BLK-L</x:v>
      </x:c>
      <x:c r="C31" s="146" t="str">
        <x:v>D006</x:v>
      </x:c>
      <x:c r="D31" s="112" t="str">
        <x:v>Zanera Noir Gown</x:v>
      </x:c>
      <x:c r="E31" s="112" t="str">
        <x:v>Dress</x:v>
      </x:c>
      <x:c r="F31" s="112" t="str">
        <x:v>Black</x:v>
      </x:c>
      <x:c r="G31" s="146" t="str">
        <x:v>BLK</x:v>
      </x:c>
      <x:c r="H31" s="146" t="str">
        <x:v>L</x:v>
      </x:c>
      <x:c r="I31" s="147" t="n">
        <x:v>102</x:v>
      </x:c>
      <x:c r="J31" s="112" t="str">
        <x:v>US Warehouse</x:v>
      </x:c>
      <x:c r="K31" s="148" t="str">
        <x:v>A06-L</x:v>
      </x:c>
      <x:c r="L31" s="148" t="str"/>
      <x:c r="M31" s="112" t="str">
        <x:v>Published</x:v>
      </x:c>
      <x:c r="N31" s="113" t="str">
        <x:v>https://www.klarelle.store/product/19dddefa-9416-450e-b390-002275e418ee</x:v>
      </x:c>
      <x:c r="O31" s="113" t="str">
        <x:v>Existing SKU preserved</x:v>
      </x:c>
      <x:c r="P31" s="112" t="str">
        <x:f>A31</x:f>
        <x:v>KLA-D006-BLK-L</x:v>
      </x:c>
      <x:c r="Q31" s="112" t="str">
        <x:f>IF(COUNTIF($A$9:$A$303,A31)&gt;1,"DUPLICATE","OK")</x:f>
        <x:v>OK</x:v>
      </x:c>
    </x:row>
    <x:row r="32" ht="24" customHeight="1">
      <x:c r="A32" s="144" t="str">
        <x:f>IF(B32&lt;&gt;"",B32,"KLA-"&amp;C32&amp;"-"&amp;G32&amp;"-"&amp;H32)</x:f>
        <x:v>KLA-D006-BLK-M</x:v>
      </x:c>
      <x:c r="B32" s="145" t="str">
        <x:v>KLA-D006-BLK-M</x:v>
      </x:c>
      <x:c r="C32" s="146" t="str">
        <x:v>D006</x:v>
      </x:c>
      <x:c r="D32" s="112" t="str">
        <x:v>Zanera Noir Gown</x:v>
      </x:c>
      <x:c r="E32" s="112" t="str">
        <x:v>Dress</x:v>
      </x:c>
      <x:c r="F32" s="112" t="str">
        <x:v>Black</x:v>
      </x:c>
      <x:c r="G32" s="146" t="str">
        <x:v>BLK</x:v>
      </x:c>
      <x:c r="H32" s="146" t="str">
        <x:v>M</x:v>
      </x:c>
      <x:c r="I32" s="147" t="n">
        <x:v>102</x:v>
      </x:c>
      <x:c r="J32" s="112" t="str">
        <x:v>US Warehouse</x:v>
      </x:c>
      <x:c r="K32" s="148" t="str">
        <x:v>A06-M</x:v>
      </x:c>
      <x:c r="L32" s="148" t="str"/>
      <x:c r="M32" s="112" t="str">
        <x:v>Published</x:v>
      </x:c>
      <x:c r="N32" s="113" t="str">
        <x:v>https://www.klarelle.store/product/19dddefa-9416-450e-b390-002275e418ee</x:v>
      </x:c>
      <x:c r="O32" s="113" t="str">
        <x:v>Existing SKU preserved</x:v>
      </x:c>
      <x:c r="P32" s="112" t="str">
        <x:f>A32</x:f>
        <x:v>KLA-D006-BLK-M</x:v>
      </x:c>
      <x:c r="Q32" s="112" t="str">
        <x:f>IF(COUNTIF($A$9:$A$303,A32)&gt;1,"DUPLICATE","OK")</x:f>
        <x:v>OK</x:v>
      </x:c>
    </x:row>
    <x:row r="33" ht="24" customHeight="1">
      <x:c r="A33" s="144" t="str">
        <x:f>IF(B33&lt;&gt;"",B33,"KLA-"&amp;C33&amp;"-"&amp;G33&amp;"-"&amp;H33)</x:f>
        <x:v>KLA-D007-WHT-L</x:v>
      </x:c>
      <x:c r="B33" s="145" t="str">
        <x:v>KLA-D007-WHT-L</x:v>
      </x:c>
      <x:c r="C33" s="146" t="str">
        <x:v>D007</x:v>
      </x:c>
      <x:c r="D33" s="112" t="str">
        <x:v>Elaria Blanche Dress</x:v>
      </x:c>
      <x:c r="E33" s="112" t="str">
        <x:v>Dress</x:v>
      </x:c>
      <x:c r="F33" s="112" t="str">
        <x:v>White</x:v>
      </x:c>
      <x:c r="G33" s="146" t="str">
        <x:v>WHT</x:v>
      </x:c>
      <x:c r="H33" s="146" t="str">
        <x:v>L</x:v>
      </x:c>
      <x:c r="I33" s="147" t="n">
        <x:v>114</x:v>
      </x:c>
      <x:c r="J33" s="112" t="str">
        <x:v>US Warehouse</x:v>
      </x:c>
      <x:c r="K33" s="148" t="str">
        <x:v>A07-L</x:v>
      </x:c>
      <x:c r="L33" s="148" t="str"/>
      <x:c r="M33" s="112" t="str">
        <x:v>Published</x:v>
      </x:c>
      <x:c r="N33" s="113" t="str">
        <x:v>https://www.klarelle.store/product/e8ea3e84-6c63-405a-aa49-6b82eaf32d6b</x:v>
      </x:c>
      <x:c r="O33" s="113" t="str">
        <x:v>Existing SKU preserved</x:v>
      </x:c>
      <x:c r="P33" s="112" t="str">
        <x:f>A33</x:f>
        <x:v>KLA-D007-WHT-L</x:v>
      </x:c>
      <x:c r="Q33" s="112" t="str">
        <x:f>IF(COUNTIF($A$9:$A$303,A33)&gt;1,"DUPLICATE","OK")</x:f>
        <x:v>OK</x:v>
      </x:c>
    </x:row>
    <x:row r="34" ht="24" customHeight="1">
      <x:c r="A34" s="144" t="str">
        <x:f>IF(B34&lt;&gt;"",B34,"KLA-"&amp;C34&amp;"-"&amp;G34&amp;"-"&amp;H34)</x:f>
        <x:v>KLA-D007-WHT-M</x:v>
      </x:c>
      <x:c r="B34" s="145" t="str">
        <x:v>KLA-D007-WHT-M</x:v>
      </x:c>
      <x:c r="C34" s="146" t="str">
        <x:v>D007</x:v>
      </x:c>
      <x:c r="D34" s="112" t="str">
        <x:v>Elaria Blanche Dress</x:v>
      </x:c>
      <x:c r="E34" s="112" t="str">
        <x:v>Dress</x:v>
      </x:c>
      <x:c r="F34" s="112" t="str">
        <x:v>White</x:v>
      </x:c>
      <x:c r="G34" s="146" t="str">
        <x:v>WHT</x:v>
      </x:c>
      <x:c r="H34" s="146" t="str">
        <x:v>M</x:v>
      </x:c>
      <x:c r="I34" s="147" t="n">
        <x:v>114</x:v>
      </x:c>
      <x:c r="J34" s="112" t="str">
        <x:v>US Warehouse</x:v>
      </x:c>
      <x:c r="K34" s="148" t="str">
        <x:v>A07-M</x:v>
      </x:c>
      <x:c r="L34" s="148" t="str"/>
      <x:c r="M34" s="112" t="str">
        <x:v>Published</x:v>
      </x:c>
      <x:c r="N34" s="113" t="str">
        <x:v>https://www.klarelle.store/product/e8ea3e84-6c63-405a-aa49-6b82eaf32d6b</x:v>
      </x:c>
      <x:c r="O34" s="113" t="str">
        <x:v>Existing SKU preserved</x:v>
      </x:c>
      <x:c r="P34" s="112" t="str">
        <x:f>A34</x:f>
        <x:v>KLA-D007-WHT-M</x:v>
      </x:c>
      <x:c r="Q34" s="112" t="str">
        <x:f>IF(COUNTIF($A$9:$A$303,A34)&gt;1,"DUPLICATE","OK")</x:f>
        <x:v>OK</x:v>
      </x:c>
    </x:row>
    <x:row r="35" ht="24" customHeight="1">
      <x:c r="A35" s="144" t="str">
        <x:f>IF(B35&lt;&gt;"",B35,"KLA-"&amp;C35&amp;"-"&amp;G35&amp;"-"&amp;H35)</x:f>
        <x:v>KLA-D007-WHT-S</x:v>
      </x:c>
      <x:c r="B35" s="145" t="str">
        <x:v>KLA-D007-WHT-S</x:v>
      </x:c>
      <x:c r="C35" s="146" t="str">
        <x:v>D007</x:v>
      </x:c>
      <x:c r="D35" s="112" t="str">
        <x:v>Elaria Blanche Dress</x:v>
      </x:c>
      <x:c r="E35" s="112" t="str">
        <x:v>Dress</x:v>
      </x:c>
      <x:c r="F35" s="112" t="str">
        <x:v>White</x:v>
      </x:c>
      <x:c r="G35" s="146" t="str">
        <x:v>WHT</x:v>
      </x:c>
      <x:c r="H35" s="146" t="str">
        <x:v>S</x:v>
      </x:c>
      <x:c r="I35" s="147" t="n">
        <x:v>114</x:v>
      </x:c>
      <x:c r="J35" s="112" t="str">
        <x:v>US Warehouse</x:v>
      </x:c>
      <x:c r="K35" s="148" t="str">
        <x:v>A07-S</x:v>
      </x:c>
      <x:c r="L35" s="148" t="str"/>
      <x:c r="M35" s="112" t="str">
        <x:v>Published</x:v>
      </x:c>
      <x:c r="N35" s="113" t="str">
        <x:v>https://www.klarelle.store/product/e8ea3e84-6c63-405a-aa49-6b82eaf32d6b</x:v>
      </x:c>
      <x:c r="O35" s="113" t="str">
        <x:v>Existing SKU preserved</x:v>
      </x:c>
      <x:c r="P35" s="112" t="str">
        <x:f>A35</x:f>
        <x:v>KLA-D007-WHT-S</x:v>
      </x:c>
      <x:c r="Q35" s="112" t="str">
        <x:f>IF(COUNTIF($A$9:$A$303,A35)&gt;1,"DUPLICATE","OK")</x:f>
        <x:v>OK</x:v>
      </x:c>
    </x:row>
    <x:row r="36" ht="24" customHeight="1">
      <x:c r="A36" s="144" t="str">
        <x:f>IF(B36&lt;&gt;"",B36,"KLA-"&amp;C36&amp;"-"&amp;G36&amp;"-"&amp;H36)</x:f>
        <x:v>KLA-D007-WHT-XL</x:v>
      </x:c>
      <x:c r="B36" s="145" t="str">
        <x:v>KLA-D007-WHT-XL</x:v>
      </x:c>
      <x:c r="C36" s="146" t="str">
        <x:v>D007</x:v>
      </x:c>
      <x:c r="D36" s="112" t="str">
        <x:v>Elaria Blanche Dress</x:v>
      </x:c>
      <x:c r="E36" s="112" t="str">
        <x:v>Dress</x:v>
      </x:c>
      <x:c r="F36" s="112" t="str">
        <x:v>White</x:v>
      </x:c>
      <x:c r="G36" s="146" t="str">
        <x:v>WHT</x:v>
      </x:c>
      <x:c r="H36" s="146" t="str">
        <x:v>XL</x:v>
      </x:c>
      <x:c r="I36" s="147" t="n">
        <x:v>114</x:v>
      </x:c>
      <x:c r="J36" s="112" t="str">
        <x:v>US Warehouse</x:v>
      </x:c>
      <x:c r="K36" s="148" t="str">
        <x:v>A07-XL</x:v>
      </x:c>
      <x:c r="L36" s="148" t="str"/>
      <x:c r="M36" s="112" t="str">
        <x:v>Published</x:v>
      </x:c>
      <x:c r="N36" s="113" t="str">
        <x:v>https://www.klarelle.store/product/e8ea3e84-6c63-405a-aa49-6b82eaf32d6b</x:v>
      </x:c>
      <x:c r="O36" s="113" t="str">
        <x:v>Existing SKU preserved</x:v>
      </x:c>
      <x:c r="P36" s="112" t="str">
        <x:f>A36</x:f>
        <x:v>KLA-D007-WHT-XL</x:v>
      </x:c>
      <x:c r="Q36" s="112" t="str">
        <x:f>IF(COUNTIF($A$9:$A$303,A36)&gt;1,"DUPLICATE","OK")</x:f>
        <x:v>OK</x:v>
      </x:c>
    </x:row>
    <x:row r="37" ht="24" customHeight="1">
      <x:c r="A37" s="144" t="str">
        <x:f>IF(B37&lt;&gt;"",B37,"KLA-"&amp;C37&amp;"-"&amp;G37&amp;"-"&amp;H37)</x:f>
        <x:v>KLA-D008-BLK-L</x:v>
      </x:c>
      <x:c r="B37" s="145" t="str"/>
      <x:c r="C37" s="146" t="str">
        <x:v>D008</x:v>
      </x:c>
      <x:c r="D37" s="112" t="str">
        <x:v>Elaris heavy Crystal Gown</x:v>
      </x:c>
      <x:c r="E37" s="112" t="str">
        <x:v>Dress</x:v>
      </x:c>
      <x:c r="F37" s="112" t="str">
        <x:v>Black</x:v>
      </x:c>
      <x:c r="G37" s="146" t="str">
        <x:v>BLK</x:v>
      </x:c>
      <x:c r="H37" s="146" t="str">
        <x:v>L</x:v>
      </x:c>
      <x:c r="I37" s="147" t="n">
        <x:v>185</x:v>
      </x:c>
      <x:c r="J37" s="112" t="str">
        <x:v>International Warehouse</x:v>
      </x:c>
      <x:c r="K37" s="148" t="str"/>
      <x:c r="L37" s="148" t="str"/>
      <x:c r="M37" s="112" t="str">
        <x:v>Published</x:v>
      </x:c>
      <x:c r="N37" s="113" t="str">
        <x:v>https://www.klarelle.store/product/643cd073-1733-4c20-8044-daea0f03f711</x:v>
      </x:c>
      <x:c r="O37" s="113" t="str">
        <x:v>Supplier-held inventory; no NJ bin unless transferred</x:v>
      </x:c>
      <x:c r="P37" s="112" t="str">
        <x:f>A37</x:f>
        <x:v>KLA-D008-BLK-L</x:v>
      </x:c>
      <x:c r="Q37" s="112" t="str">
        <x:f>IF(COUNTIF($A$9:$A$303,A37)&gt;1,"DUPLICATE","OK")</x:f>
        <x:v>OK</x:v>
      </x:c>
    </x:row>
    <x:row r="38" ht="24" customHeight="1">
      <x:c r="A38" s="144" t="str">
        <x:f>IF(B38&lt;&gt;"",B38,"KLA-"&amp;C38&amp;"-"&amp;G38&amp;"-"&amp;H38)</x:f>
        <x:v>KLA-D008-BLK-M</x:v>
      </x:c>
      <x:c r="B38" s="145" t="str"/>
      <x:c r="C38" s="146" t="str">
        <x:v>D008</x:v>
      </x:c>
      <x:c r="D38" s="112" t="str">
        <x:v>Elaris heavy Crystal Gown</x:v>
      </x:c>
      <x:c r="E38" s="112" t="str">
        <x:v>Dress</x:v>
      </x:c>
      <x:c r="F38" s="112" t="str">
        <x:v>Black</x:v>
      </x:c>
      <x:c r="G38" s="146" t="str">
        <x:v>BLK</x:v>
      </x:c>
      <x:c r="H38" s="146" t="str">
        <x:v>M</x:v>
      </x:c>
      <x:c r="I38" s="147" t="n">
        <x:v>185</x:v>
      </x:c>
      <x:c r="J38" s="112" t="str">
        <x:v>International Warehouse</x:v>
      </x:c>
      <x:c r="K38" s="148" t="str"/>
      <x:c r="L38" s="148" t="str"/>
      <x:c r="M38" s="112" t="str">
        <x:v>Published</x:v>
      </x:c>
      <x:c r="N38" s="113" t="str">
        <x:v>https://www.klarelle.store/product/643cd073-1733-4c20-8044-daea0f03f711</x:v>
      </x:c>
      <x:c r="O38" s="113" t="str">
        <x:v>Supplier-held inventory; no NJ bin unless transferred</x:v>
      </x:c>
      <x:c r="P38" s="112" t="str">
        <x:f>A38</x:f>
        <x:v>KLA-D008-BLK-M</x:v>
      </x:c>
      <x:c r="Q38" s="112" t="str">
        <x:f>IF(COUNTIF($A$9:$A$303,A38)&gt;1,"DUPLICATE","OK")</x:f>
        <x:v>OK</x:v>
      </x:c>
    </x:row>
    <x:row r="39" ht="24" customHeight="1">
      <x:c r="A39" s="144" t="str">
        <x:f>IF(B39&lt;&gt;"",B39,"KLA-"&amp;C39&amp;"-"&amp;G39&amp;"-"&amp;H39)</x:f>
        <x:v>KLA-D008-BLK-S</x:v>
      </x:c>
      <x:c r="B39" s="145" t="str"/>
      <x:c r="C39" s="146" t="str">
        <x:v>D008</x:v>
      </x:c>
      <x:c r="D39" s="112" t="str">
        <x:v>Elaris heavy Crystal Gown</x:v>
      </x:c>
      <x:c r="E39" s="112" t="str">
        <x:v>Dress</x:v>
      </x:c>
      <x:c r="F39" s="112" t="str">
        <x:v>Black</x:v>
      </x:c>
      <x:c r="G39" s="146" t="str">
        <x:v>BLK</x:v>
      </x:c>
      <x:c r="H39" s="146" t="str">
        <x:v>S</x:v>
      </x:c>
      <x:c r="I39" s="147" t="n">
        <x:v>185</x:v>
      </x:c>
      <x:c r="J39" s="112" t="str">
        <x:v>International Warehouse</x:v>
      </x:c>
      <x:c r="K39" s="148" t="str"/>
      <x:c r="L39" s="148" t="str"/>
      <x:c r="M39" s="112" t="str">
        <x:v>Published</x:v>
      </x:c>
      <x:c r="N39" s="113" t="str">
        <x:v>https://www.klarelle.store/product/643cd073-1733-4c20-8044-daea0f03f711</x:v>
      </x:c>
      <x:c r="O39" s="113" t="str">
        <x:v>Supplier-held inventory; no NJ bin unless transferred</x:v>
      </x:c>
      <x:c r="P39" s="112" t="str">
        <x:f>A39</x:f>
        <x:v>KLA-D008-BLK-S</x:v>
      </x:c>
      <x:c r="Q39" s="112" t="str">
        <x:f>IF(COUNTIF($A$9:$A$303,A39)&gt;1,"DUPLICATE","OK")</x:f>
        <x:v>OK</x:v>
      </x:c>
    </x:row>
    <x:row r="40" ht="24" customHeight="1">
      <x:c r="A40" s="144" t="str">
        <x:f>IF(B40&lt;&gt;"",B40,"KLA-"&amp;C40&amp;"-"&amp;G40&amp;"-"&amp;H40)</x:f>
        <x:v>KLA-D008-BLK-XL</x:v>
      </x:c>
      <x:c r="B40" s="145" t="str"/>
      <x:c r="C40" s="146" t="str">
        <x:v>D008</x:v>
      </x:c>
      <x:c r="D40" s="112" t="str">
        <x:v>Elaris heavy Crystal Gown</x:v>
      </x:c>
      <x:c r="E40" s="112" t="str">
        <x:v>Dress</x:v>
      </x:c>
      <x:c r="F40" s="112" t="str">
        <x:v>Black</x:v>
      </x:c>
      <x:c r="G40" s="146" t="str">
        <x:v>BLK</x:v>
      </x:c>
      <x:c r="H40" s="146" t="str">
        <x:v>XL</x:v>
      </x:c>
      <x:c r="I40" s="147" t="n">
        <x:v>185</x:v>
      </x:c>
      <x:c r="J40" s="112" t="str">
        <x:v>International Warehouse</x:v>
      </x:c>
      <x:c r="K40" s="148" t="str"/>
      <x:c r="L40" s="148" t="str"/>
      <x:c r="M40" s="112" t="str">
        <x:v>Published</x:v>
      </x:c>
      <x:c r="N40" s="113" t="str">
        <x:v>https://www.klarelle.store/product/643cd073-1733-4c20-8044-daea0f03f711</x:v>
      </x:c>
      <x:c r="O40" s="113" t="str">
        <x:v>Supplier-held inventory; no NJ bin unless transferred</x:v>
      </x:c>
      <x:c r="P40" s="112" t="str">
        <x:f>A40</x:f>
        <x:v>KLA-D008-BLK-XL</x:v>
      </x:c>
      <x:c r="Q40" s="112" t="str">
        <x:f>IF(COUNTIF($A$9:$A$303,A40)&gt;1,"DUPLICATE","OK")</x:f>
        <x:v>OK</x:v>
      </x:c>
    </x:row>
    <x:row r="41" ht="24" customHeight="1">
      <x:c r="A41" s="144" t="str">
        <x:f>IF(B41&lt;&gt;"",B41,"KLA-"&amp;C41&amp;"-"&amp;G41&amp;"-"&amp;H41)</x:f>
        <x:v>KLA-D008-RED-L</x:v>
      </x:c>
      <x:c r="B41" s="145" t="str"/>
      <x:c r="C41" s="146" t="str">
        <x:v>D008</x:v>
      </x:c>
      <x:c r="D41" s="112" t="str">
        <x:v>Elaris heavy Crystal Gown</x:v>
      </x:c>
      <x:c r="E41" s="112" t="str">
        <x:v>Dress</x:v>
      </x:c>
      <x:c r="F41" s="112" t="str">
        <x:v>Red</x:v>
      </x:c>
      <x:c r="G41" s="146" t="str">
        <x:v>RED</x:v>
      </x:c>
      <x:c r="H41" s="146" t="str">
        <x:v>L</x:v>
      </x:c>
      <x:c r="I41" s="147" t="n">
        <x:v>185</x:v>
      </x:c>
      <x:c r="J41" s="112" t="str">
        <x:v>International Warehouse</x:v>
      </x:c>
      <x:c r="K41" s="148" t="str"/>
      <x:c r="L41" s="148" t="str"/>
      <x:c r="M41" s="112" t="str">
        <x:v>Published</x:v>
      </x:c>
      <x:c r="N41" s="113" t="str">
        <x:v>https://www.klarelle.store/product/643cd073-1733-4c20-8044-daea0f03f711</x:v>
      </x:c>
      <x:c r="O41" s="113" t="str">
        <x:v>Supplier-held inventory; no NJ bin unless transferred</x:v>
      </x:c>
      <x:c r="P41" s="112" t="str">
        <x:f>A41</x:f>
        <x:v>KLA-D008-RED-L</x:v>
      </x:c>
      <x:c r="Q41" s="112" t="str">
        <x:f>IF(COUNTIF($A$9:$A$303,A41)&gt;1,"DUPLICATE","OK")</x:f>
        <x:v>OK</x:v>
      </x:c>
    </x:row>
    <x:row r="42" ht="24" customHeight="1">
      <x:c r="A42" s="144" t="str">
        <x:f>IF(B42&lt;&gt;"",B42,"KLA-"&amp;C42&amp;"-"&amp;G42&amp;"-"&amp;H42)</x:f>
        <x:v>KLA-D008-RED-M</x:v>
      </x:c>
      <x:c r="B42" s="145" t="str"/>
      <x:c r="C42" s="146" t="str">
        <x:v>D008</x:v>
      </x:c>
      <x:c r="D42" s="112" t="str">
        <x:v>Elaris heavy Crystal Gown</x:v>
      </x:c>
      <x:c r="E42" s="112" t="str">
        <x:v>Dress</x:v>
      </x:c>
      <x:c r="F42" s="112" t="str">
        <x:v>Red</x:v>
      </x:c>
      <x:c r="G42" s="146" t="str">
        <x:v>RED</x:v>
      </x:c>
      <x:c r="H42" s="146" t="str">
        <x:v>M</x:v>
      </x:c>
      <x:c r="I42" s="147" t="n">
        <x:v>185</x:v>
      </x:c>
      <x:c r="J42" s="112" t="str">
        <x:v>International Warehouse</x:v>
      </x:c>
      <x:c r="K42" s="148" t="str"/>
      <x:c r="L42" s="148" t="str"/>
      <x:c r="M42" s="112" t="str">
        <x:v>Published</x:v>
      </x:c>
      <x:c r="N42" s="113" t="str">
        <x:v>https://www.klarelle.store/product/643cd073-1733-4c20-8044-daea0f03f711</x:v>
      </x:c>
      <x:c r="O42" s="113" t="str">
        <x:v>Supplier-held inventory; no NJ bin unless transferred</x:v>
      </x:c>
      <x:c r="P42" s="112" t="str">
        <x:f>A42</x:f>
        <x:v>KLA-D008-RED-M</x:v>
      </x:c>
      <x:c r="Q42" s="112" t="str">
        <x:f>IF(COUNTIF($A$9:$A$303,A42)&gt;1,"DUPLICATE","OK")</x:f>
        <x:v>OK</x:v>
      </x:c>
    </x:row>
    <x:row r="43" ht="24" customHeight="1">
      <x:c r="A43" s="144" t="str">
        <x:f>IF(B43&lt;&gt;"",B43,"KLA-"&amp;C43&amp;"-"&amp;G43&amp;"-"&amp;H43)</x:f>
        <x:v>KLA-D008-RED-S</x:v>
      </x:c>
      <x:c r="B43" s="145" t="str"/>
      <x:c r="C43" s="146" t="str">
        <x:v>D008</x:v>
      </x:c>
      <x:c r="D43" s="112" t="str">
        <x:v>Elaris heavy Crystal Gown</x:v>
      </x:c>
      <x:c r="E43" s="112" t="str">
        <x:v>Dress</x:v>
      </x:c>
      <x:c r="F43" s="112" t="str">
        <x:v>Red</x:v>
      </x:c>
      <x:c r="G43" s="146" t="str">
        <x:v>RED</x:v>
      </x:c>
      <x:c r="H43" s="146" t="str">
        <x:v>S</x:v>
      </x:c>
      <x:c r="I43" s="147" t="n">
        <x:v>185</x:v>
      </x:c>
      <x:c r="J43" s="112" t="str">
        <x:v>International Warehouse</x:v>
      </x:c>
      <x:c r="K43" s="148" t="str"/>
      <x:c r="L43" s="148" t="str"/>
      <x:c r="M43" s="112" t="str">
        <x:v>Published</x:v>
      </x:c>
      <x:c r="N43" s="113" t="str">
        <x:v>https://www.klarelle.store/product/643cd073-1733-4c20-8044-daea0f03f711</x:v>
      </x:c>
      <x:c r="O43" s="113" t="str">
        <x:v>Supplier-held inventory; no NJ bin unless transferred</x:v>
      </x:c>
      <x:c r="P43" s="112" t="str">
        <x:f>A43</x:f>
        <x:v>KLA-D008-RED-S</x:v>
      </x:c>
      <x:c r="Q43" s="112" t="str">
        <x:f>IF(COUNTIF($A$9:$A$303,A43)&gt;1,"DUPLICATE","OK")</x:f>
        <x:v>OK</x:v>
      </x:c>
    </x:row>
    <x:row r="44" ht="24" customHeight="1">
      <x:c r="A44" s="144" t="str">
        <x:f>IF(B44&lt;&gt;"",B44,"KLA-"&amp;C44&amp;"-"&amp;G44&amp;"-"&amp;H44)</x:f>
        <x:v>KLA-D008-RED-XL</x:v>
      </x:c>
      <x:c r="B44" s="145" t="str"/>
      <x:c r="C44" s="146" t="str">
        <x:v>D008</x:v>
      </x:c>
      <x:c r="D44" s="112" t="str">
        <x:v>Elaris heavy Crystal Gown</x:v>
      </x:c>
      <x:c r="E44" s="112" t="str">
        <x:v>Dress</x:v>
      </x:c>
      <x:c r="F44" s="112" t="str">
        <x:v>Red</x:v>
      </x:c>
      <x:c r="G44" s="146" t="str">
        <x:v>RED</x:v>
      </x:c>
      <x:c r="H44" s="146" t="str">
        <x:v>XL</x:v>
      </x:c>
      <x:c r="I44" s="147" t="n">
        <x:v>185</x:v>
      </x:c>
      <x:c r="J44" s="112" t="str">
        <x:v>International Warehouse</x:v>
      </x:c>
      <x:c r="K44" s="148" t="str"/>
      <x:c r="L44" s="148" t="str"/>
      <x:c r="M44" s="112" t="str">
        <x:v>Published</x:v>
      </x:c>
      <x:c r="N44" s="113" t="str">
        <x:v>https://www.klarelle.store/product/643cd073-1733-4c20-8044-daea0f03f711</x:v>
      </x:c>
      <x:c r="O44" s="113" t="str">
        <x:v>Supplier-held inventory; no NJ bin unless transferred</x:v>
      </x:c>
      <x:c r="P44" s="112" t="str">
        <x:f>A44</x:f>
        <x:v>KLA-D008-RED-XL</x:v>
      </x:c>
      <x:c r="Q44" s="112" t="str">
        <x:f>IF(COUNTIF($A$9:$A$303,A44)&gt;1,"DUPLICATE","OK")</x:f>
        <x:v>OK</x:v>
      </x:c>
    </x:row>
    <x:row r="45" ht="24" customHeight="1">
      <x:c r="A45" s="144" t="str">
        <x:f>IF(B45&lt;&gt;"",B45,"KLA-"&amp;C45&amp;"-"&amp;G45&amp;"-"&amp;H45)</x:f>
        <x:v>KLA-D009-GLD-L</x:v>
      </x:c>
      <x:c r="B45" s="145" t="str"/>
      <x:c r="C45" s="146" t="str">
        <x:v>D009</x:v>
      </x:c>
      <x:c r="D45" s="112" t="str">
        <x:v>Kelly Fringe Dress</x:v>
      </x:c>
      <x:c r="E45" s="112" t="str">
        <x:v>Dress</x:v>
      </x:c>
      <x:c r="F45" s="112" t="str">
        <x:v>Gold</x:v>
      </x:c>
      <x:c r="G45" s="146" t="str">
        <x:v>GLD</x:v>
      </x:c>
      <x:c r="H45" s="146" t="str">
        <x:v>L</x:v>
      </x:c>
      <x:c r="I45" s="147" t="n">
        <x:v>109</x:v>
      </x:c>
      <x:c r="J45" s="112" t="str">
        <x:v>International Warehouse</x:v>
      </x:c>
      <x:c r="K45" s="148" t="str"/>
      <x:c r="L45" s="148" t="str"/>
      <x:c r="M45" s="112" t="str">
        <x:v>Published</x:v>
      </x:c>
      <x:c r="N45" s="113" t="str">
        <x:v>https://www.klarelle.store/product/2b5dc385-0f58-47ed-9c20-74be2ab0b138</x:v>
      </x:c>
      <x:c r="O45" s="113" t="str">
        <x:v>Supplier-held inventory; no NJ bin unless transferred</x:v>
      </x:c>
      <x:c r="P45" s="112" t="str">
        <x:f>A45</x:f>
        <x:v>KLA-D009-GLD-L</x:v>
      </x:c>
      <x:c r="Q45" s="112" t="str">
        <x:f>IF(COUNTIF($A$9:$A$303,A45)&gt;1,"DUPLICATE","OK")</x:f>
        <x:v>OK</x:v>
      </x:c>
    </x:row>
    <x:row r="46" ht="24" customHeight="1">
      <x:c r="A46" s="144" t="str">
        <x:f>IF(B46&lt;&gt;"",B46,"KLA-"&amp;C46&amp;"-"&amp;G46&amp;"-"&amp;H46)</x:f>
        <x:v>KLA-D009-GLD-M</x:v>
      </x:c>
      <x:c r="B46" s="145" t="str"/>
      <x:c r="C46" s="146" t="str">
        <x:v>D009</x:v>
      </x:c>
      <x:c r="D46" s="112" t="str">
        <x:v>Kelly Fringe Dress</x:v>
      </x:c>
      <x:c r="E46" s="112" t="str">
        <x:v>Dress</x:v>
      </x:c>
      <x:c r="F46" s="112" t="str">
        <x:v>Gold</x:v>
      </x:c>
      <x:c r="G46" s="146" t="str">
        <x:v>GLD</x:v>
      </x:c>
      <x:c r="H46" s="146" t="str">
        <x:v>M</x:v>
      </x:c>
      <x:c r="I46" s="147" t="n">
        <x:v>109</x:v>
      </x:c>
      <x:c r="J46" s="112" t="str">
        <x:v>International Warehouse</x:v>
      </x:c>
      <x:c r="K46" s="148" t="str"/>
      <x:c r="L46" s="148" t="str"/>
      <x:c r="M46" s="112" t="str">
        <x:v>Published</x:v>
      </x:c>
      <x:c r="N46" s="113" t="str">
        <x:v>https://www.klarelle.store/product/2b5dc385-0f58-47ed-9c20-74be2ab0b138</x:v>
      </x:c>
      <x:c r="O46" s="113" t="str">
        <x:v>Supplier-held inventory; no NJ bin unless transferred</x:v>
      </x:c>
      <x:c r="P46" s="112" t="str">
        <x:f>A46</x:f>
        <x:v>KLA-D009-GLD-M</x:v>
      </x:c>
      <x:c r="Q46" s="112" t="str">
        <x:f>IF(COUNTIF($A$9:$A$303,A46)&gt;1,"DUPLICATE","OK")</x:f>
        <x:v>OK</x:v>
      </x:c>
    </x:row>
    <x:row r="47" ht="24" customHeight="1">
      <x:c r="A47" s="144" t="str">
        <x:f>IF(B47&lt;&gt;"",B47,"KLA-"&amp;C47&amp;"-"&amp;G47&amp;"-"&amp;H47)</x:f>
        <x:v>KLA-D009-GLD-S</x:v>
      </x:c>
      <x:c r="B47" s="145" t="str"/>
      <x:c r="C47" s="146" t="str">
        <x:v>D009</x:v>
      </x:c>
      <x:c r="D47" s="112" t="str">
        <x:v>Kelly Fringe Dress</x:v>
      </x:c>
      <x:c r="E47" s="112" t="str">
        <x:v>Dress</x:v>
      </x:c>
      <x:c r="F47" s="112" t="str">
        <x:v>Gold</x:v>
      </x:c>
      <x:c r="G47" s="146" t="str">
        <x:v>GLD</x:v>
      </x:c>
      <x:c r="H47" s="146" t="str">
        <x:v>S</x:v>
      </x:c>
      <x:c r="I47" s="147" t="n">
        <x:v>109</x:v>
      </x:c>
      <x:c r="J47" s="112" t="str">
        <x:v>International Warehouse</x:v>
      </x:c>
      <x:c r="K47" s="148" t="str"/>
      <x:c r="L47" s="148" t="str"/>
      <x:c r="M47" s="112" t="str">
        <x:v>Published</x:v>
      </x:c>
      <x:c r="N47" s="113" t="str">
        <x:v>https://www.klarelle.store/product/2b5dc385-0f58-47ed-9c20-74be2ab0b138</x:v>
      </x:c>
      <x:c r="O47" s="113" t="str">
        <x:v>Supplier-held inventory; no NJ bin unless transferred</x:v>
      </x:c>
      <x:c r="P47" s="112" t="str">
        <x:f>A47</x:f>
        <x:v>KLA-D009-GLD-S</x:v>
      </x:c>
      <x:c r="Q47" s="112" t="str">
        <x:f>IF(COUNTIF($A$9:$A$303,A47)&gt;1,"DUPLICATE","OK")</x:f>
        <x:v>OK</x:v>
      </x:c>
    </x:row>
    <x:row r="48" ht="24" customHeight="1">
      <x:c r="A48" s="144" t="str">
        <x:f>IF(B48&lt;&gt;"",B48,"KLA-"&amp;C48&amp;"-"&amp;G48&amp;"-"&amp;H48)</x:f>
        <x:v>KLA-D009-GLD-XL</x:v>
      </x:c>
      <x:c r="B48" s="145" t="str"/>
      <x:c r="C48" s="146" t="str">
        <x:v>D009</x:v>
      </x:c>
      <x:c r="D48" s="112" t="str">
        <x:v>Kelly Fringe Dress</x:v>
      </x:c>
      <x:c r="E48" s="112" t="str">
        <x:v>Dress</x:v>
      </x:c>
      <x:c r="F48" s="112" t="str">
        <x:v>Gold</x:v>
      </x:c>
      <x:c r="G48" s="146" t="str">
        <x:v>GLD</x:v>
      </x:c>
      <x:c r="H48" s="146" t="str">
        <x:v>XL</x:v>
      </x:c>
      <x:c r="I48" s="147" t="n">
        <x:v>109</x:v>
      </x:c>
      <x:c r="J48" s="112" t="str">
        <x:v>International Warehouse</x:v>
      </x:c>
      <x:c r="K48" s="148" t="str"/>
      <x:c r="L48" s="148" t="str"/>
      <x:c r="M48" s="112" t="str">
        <x:v>Published</x:v>
      </x:c>
      <x:c r="N48" s="113" t="str">
        <x:v>https://www.klarelle.store/product/2b5dc385-0f58-47ed-9c20-74be2ab0b138</x:v>
      </x:c>
      <x:c r="O48" s="113" t="str">
        <x:v>Supplier-held inventory; no NJ bin unless transferred</x:v>
      </x:c>
      <x:c r="P48" s="112" t="str">
        <x:f>A48</x:f>
        <x:v>KLA-D009-GLD-XL</x:v>
      </x:c>
      <x:c r="Q48" s="112" t="str">
        <x:f>IF(COUNTIF($A$9:$A$303,A48)&gt;1,"DUPLICATE","OK")</x:f>
        <x:v>OK</x:v>
      </x:c>
    </x:row>
    <x:row r="49" ht="24" customHeight="1">
      <x:c r="A49" s="144" t="str">
        <x:f>IF(B49&lt;&gt;"",B49,"KLA-"&amp;C49&amp;"-"&amp;G49&amp;"-"&amp;H49)</x:f>
        <x:v>KLA-D010-ORG-L</x:v>
      </x:c>
      <x:c r="B49" s="145" t="str"/>
      <x:c r="C49" s="146" t="str">
        <x:v>D010</x:v>
      </x:c>
      <x:c r="D49" s="112" t="str">
        <x:v>Valencia Crystal Gown</x:v>
      </x:c>
      <x:c r="E49" s="112" t="str">
        <x:v>Dress</x:v>
      </x:c>
      <x:c r="F49" s="112" t="str">
        <x:v>Orange</x:v>
      </x:c>
      <x:c r="G49" s="146" t="str">
        <x:v>ORG</x:v>
      </x:c>
      <x:c r="H49" s="146" t="str">
        <x:v>L</x:v>
      </x:c>
      <x:c r="I49" s="147" t="n">
        <x:v>109</x:v>
      </x:c>
      <x:c r="J49" s="112" t="str">
        <x:v>International Warehouse</x:v>
      </x:c>
      <x:c r="K49" s="148" t="str"/>
      <x:c r="L49" s="148" t="str"/>
      <x:c r="M49" s="112" t="str">
        <x:v>Published</x:v>
      </x:c>
      <x:c r="N49" s="113" t="str">
        <x:v>https://www.klarelle.store/product/aa82c676-fd35-4f74-a4c5-5729552cf4c5</x:v>
      </x:c>
      <x:c r="O49" s="113" t="str">
        <x:v>Supplier-held inventory; no NJ bin unless transferred</x:v>
      </x:c>
      <x:c r="P49" s="112" t="str">
        <x:f>A49</x:f>
        <x:v>KLA-D010-ORG-L</x:v>
      </x:c>
      <x:c r="Q49" s="112" t="str">
        <x:f>IF(COUNTIF($A$9:$A$303,A49)&gt;1,"DUPLICATE","OK")</x:f>
        <x:v>OK</x:v>
      </x:c>
    </x:row>
    <x:row r="50" ht="24" customHeight="1">
      <x:c r="A50" s="144" t="str">
        <x:f>IF(B50&lt;&gt;"",B50,"KLA-"&amp;C50&amp;"-"&amp;G50&amp;"-"&amp;H50)</x:f>
        <x:v>KLA-D010-ORG-M</x:v>
      </x:c>
      <x:c r="B50" s="145" t="str"/>
      <x:c r="C50" s="146" t="str">
        <x:v>D010</x:v>
      </x:c>
      <x:c r="D50" s="112" t="str">
        <x:v>Valencia Crystal Gown</x:v>
      </x:c>
      <x:c r="E50" s="112" t="str">
        <x:v>Dress</x:v>
      </x:c>
      <x:c r="F50" s="112" t="str">
        <x:v>Orange</x:v>
      </x:c>
      <x:c r="G50" s="146" t="str">
        <x:v>ORG</x:v>
      </x:c>
      <x:c r="H50" s="146" t="str">
        <x:v>M</x:v>
      </x:c>
      <x:c r="I50" s="147" t="n">
        <x:v>109</x:v>
      </x:c>
      <x:c r="J50" s="112" t="str">
        <x:v>International Warehouse</x:v>
      </x:c>
      <x:c r="K50" s="148" t="str"/>
      <x:c r="L50" s="148" t="str"/>
      <x:c r="M50" s="112" t="str">
        <x:v>Published</x:v>
      </x:c>
      <x:c r="N50" s="113" t="str">
        <x:v>https://www.klarelle.store/product/aa82c676-fd35-4f74-a4c5-5729552cf4c5</x:v>
      </x:c>
      <x:c r="O50" s="113" t="str">
        <x:v>Supplier-held inventory; no NJ bin unless transferred</x:v>
      </x:c>
      <x:c r="P50" s="112" t="str">
        <x:f>A50</x:f>
        <x:v>KLA-D010-ORG-M</x:v>
      </x:c>
      <x:c r="Q50" s="112" t="str">
        <x:f>IF(COUNTIF($A$9:$A$303,A50)&gt;1,"DUPLICATE","OK")</x:f>
        <x:v>OK</x:v>
      </x:c>
    </x:row>
    <x:row r="51" ht="24" customHeight="1">
      <x:c r="A51" s="144" t="str">
        <x:f>IF(B51&lt;&gt;"",B51,"KLA-"&amp;C51&amp;"-"&amp;G51&amp;"-"&amp;H51)</x:f>
        <x:v>KLA-D010-ORG-S</x:v>
      </x:c>
      <x:c r="B51" s="145" t="str"/>
      <x:c r="C51" s="146" t="str">
        <x:v>D010</x:v>
      </x:c>
      <x:c r="D51" s="112" t="str">
        <x:v>Valencia Crystal Gown</x:v>
      </x:c>
      <x:c r="E51" s="112" t="str">
        <x:v>Dress</x:v>
      </x:c>
      <x:c r="F51" s="112" t="str">
        <x:v>Orange</x:v>
      </x:c>
      <x:c r="G51" s="146" t="str">
        <x:v>ORG</x:v>
      </x:c>
      <x:c r="H51" s="146" t="str">
        <x:v>S</x:v>
      </x:c>
      <x:c r="I51" s="147" t="n">
        <x:v>109</x:v>
      </x:c>
      <x:c r="J51" s="112" t="str">
        <x:v>International Warehouse</x:v>
      </x:c>
      <x:c r="K51" s="148" t="str"/>
      <x:c r="L51" s="148" t="str"/>
      <x:c r="M51" s="112" t="str">
        <x:v>Published</x:v>
      </x:c>
      <x:c r="N51" s="113" t="str">
        <x:v>https://www.klarelle.store/product/aa82c676-fd35-4f74-a4c5-5729552cf4c5</x:v>
      </x:c>
      <x:c r="O51" s="113" t="str">
        <x:v>Supplier-held inventory; no NJ bin unless transferred</x:v>
      </x:c>
      <x:c r="P51" s="112" t="str">
        <x:f>A51</x:f>
        <x:v>KLA-D010-ORG-S</x:v>
      </x:c>
      <x:c r="Q51" s="112" t="str">
        <x:f>IF(COUNTIF($A$9:$A$303,A51)&gt;1,"DUPLICATE","OK")</x:f>
        <x:v>OK</x:v>
      </x:c>
    </x:row>
    <x:row r="52" ht="24" customHeight="1">
      <x:c r="A52" s="144" t="str">
        <x:f>IF(B52&lt;&gt;"",B52,"KLA-"&amp;C52&amp;"-"&amp;G52&amp;"-"&amp;H52)</x:f>
        <x:v>KLA-D010-ORG-XL</x:v>
      </x:c>
      <x:c r="B52" s="145" t="str"/>
      <x:c r="C52" s="146" t="str">
        <x:v>D010</x:v>
      </x:c>
      <x:c r="D52" s="112" t="str">
        <x:v>Valencia Crystal Gown</x:v>
      </x:c>
      <x:c r="E52" s="112" t="str">
        <x:v>Dress</x:v>
      </x:c>
      <x:c r="F52" s="112" t="str">
        <x:v>Orange</x:v>
      </x:c>
      <x:c r="G52" s="146" t="str">
        <x:v>ORG</x:v>
      </x:c>
      <x:c r="H52" s="146" t="str">
        <x:v>XL</x:v>
      </x:c>
      <x:c r="I52" s="147" t="n">
        <x:v>109</x:v>
      </x:c>
      <x:c r="J52" s="112" t="str">
        <x:v>International Warehouse</x:v>
      </x:c>
      <x:c r="K52" s="148" t="str"/>
      <x:c r="L52" s="148" t="str"/>
      <x:c r="M52" s="112" t="str">
        <x:v>Published</x:v>
      </x:c>
      <x:c r="N52" s="113" t="str">
        <x:v>https://www.klarelle.store/product/aa82c676-fd35-4f74-a4c5-5729552cf4c5</x:v>
      </x:c>
      <x:c r="O52" s="113" t="str">
        <x:v>Supplier-held inventory; no NJ bin unless transferred</x:v>
      </x:c>
      <x:c r="P52" s="112" t="str">
        <x:f>A52</x:f>
        <x:v>KLA-D010-ORG-XL</x:v>
      </x:c>
      <x:c r="Q52" s="112" t="str">
        <x:f>IF(COUNTIF($A$9:$A$303,A52)&gt;1,"DUPLICATE","OK")</x:f>
        <x:v>OK</x:v>
      </x:c>
    </x:row>
    <x:row r="53" ht="24" customHeight="1">
      <x:c r="A53" s="144" t="str">
        <x:f>IF(B53&lt;&gt;"",B53,"KLA-"&amp;C53&amp;"-"&amp;G53&amp;"-"&amp;H53)</x:f>
        <x:v>KLA-D011-BLU-L</x:v>
      </x:c>
      <x:c r="B53" s="145" t="str"/>
      <x:c r="C53" s="146" t="str">
        <x:v>D011</x:v>
      </x:c>
      <x:c r="D53" s="112" t="str">
        <x:v>Lia Crystal Gown</x:v>
      </x:c>
      <x:c r="E53" s="112" t="str">
        <x:v>Dress</x:v>
      </x:c>
      <x:c r="F53" s="112" t="str">
        <x:v>Blue</x:v>
      </x:c>
      <x:c r="G53" s="146" t="str">
        <x:v>BLU</x:v>
      </x:c>
      <x:c r="H53" s="146" t="str">
        <x:v>L</x:v>
      </x:c>
      <x:c r="I53" s="147" t="n">
        <x:v>97</x:v>
      </x:c>
      <x:c r="J53" s="112" t="str">
        <x:v>International Warehouse</x:v>
      </x:c>
      <x:c r="K53" s="148" t="str"/>
      <x:c r="L53" s="148" t="str"/>
      <x:c r="M53" s="112" t="str">
        <x:v>Published</x:v>
      </x:c>
      <x:c r="N53" s="113" t="str">
        <x:v>https://www.klarelle.store/product/d3b7c174-6eff-4a3f-b1f2-843b935a04bf</x:v>
      </x:c>
      <x:c r="O53" s="113" t="str">
        <x:v>Supplier-held inventory; no NJ bin unless transferred</x:v>
      </x:c>
      <x:c r="P53" s="112" t="str">
        <x:f>A53</x:f>
        <x:v>KLA-D011-BLU-L</x:v>
      </x:c>
      <x:c r="Q53" s="112" t="str">
        <x:f>IF(COUNTIF($A$9:$A$303,A53)&gt;1,"DUPLICATE","OK")</x:f>
        <x:v>OK</x:v>
      </x:c>
    </x:row>
    <x:row r="54" ht="24" customHeight="1">
      <x:c r="A54" s="144" t="str">
        <x:f>IF(B54&lt;&gt;"",B54,"KLA-"&amp;C54&amp;"-"&amp;G54&amp;"-"&amp;H54)</x:f>
        <x:v>KLA-D011-BLU-M</x:v>
      </x:c>
      <x:c r="B54" s="145" t="str"/>
      <x:c r="C54" s="146" t="str">
        <x:v>D011</x:v>
      </x:c>
      <x:c r="D54" s="112" t="str">
        <x:v>Lia Crystal Gown</x:v>
      </x:c>
      <x:c r="E54" s="112" t="str">
        <x:v>Dress</x:v>
      </x:c>
      <x:c r="F54" s="112" t="str">
        <x:v>Blue</x:v>
      </x:c>
      <x:c r="G54" s="146" t="str">
        <x:v>BLU</x:v>
      </x:c>
      <x:c r="H54" s="146" t="str">
        <x:v>M</x:v>
      </x:c>
      <x:c r="I54" s="147" t="n">
        <x:v>97</x:v>
      </x:c>
      <x:c r="J54" s="112" t="str">
        <x:v>International Warehouse</x:v>
      </x:c>
      <x:c r="K54" s="148" t="str"/>
      <x:c r="L54" s="148" t="str"/>
      <x:c r="M54" s="112" t="str">
        <x:v>Published</x:v>
      </x:c>
      <x:c r="N54" s="113" t="str">
        <x:v>https://www.klarelle.store/product/d3b7c174-6eff-4a3f-b1f2-843b935a04bf</x:v>
      </x:c>
      <x:c r="O54" s="113" t="str">
        <x:v>Supplier-held inventory; no NJ bin unless transferred</x:v>
      </x:c>
      <x:c r="P54" s="112" t="str">
        <x:f>A54</x:f>
        <x:v>KLA-D011-BLU-M</x:v>
      </x:c>
      <x:c r="Q54" s="112" t="str">
        <x:f>IF(COUNTIF($A$9:$A$303,A54)&gt;1,"DUPLICATE","OK")</x:f>
        <x:v>OK</x:v>
      </x:c>
    </x:row>
    <x:row r="55" ht="24" customHeight="1">
      <x:c r="A55" s="144" t="str">
        <x:f>IF(B55&lt;&gt;"",B55,"KLA-"&amp;C55&amp;"-"&amp;G55&amp;"-"&amp;H55)</x:f>
        <x:v>KLA-D011-BLU-S</x:v>
      </x:c>
      <x:c r="B55" s="145" t="str"/>
      <x:c r="C55" s="146" t="str">
        <x:v>D011</x:v>
      </x:c>
      <x:c r="D55" s="112" t="str">
        <x:v>Lia Crystal Gown</x:v>
      </x:c>
      <x:c r="E55" s="112" t="str">
        <x:v>Dress</x:v>
      </x:c>
      <x:c r="F55" s="112" t="str">
        <x:v>Blue</x:v>
      </x:c>
      <x:c r="G55" s="146" t="str">
        <x:v>BLU</x:v>
      </x:c>
      <x:c r="H55" s="146" t="str">
        <x:v>S</x:v>
      </x:c>
      <x:c r="I55" s="147" t="n">
        <x:v>97</x:v>
      </x:c>
      <x:c r="J55" s="112" t="str">
        <x:v>International Warehouse</x:v>
      </x:c>
      <x:c r="K55" s="148" t="str"/>
      <x:c r="L55" s="148" t="str"/>
      <x:c r="M55" s="112" t="str">
        <x:v>Published</x:v>
      </x:c>
      <x:c r="N55" s="113" t="str">
        <x:v>https://www.klarelle.store/product/d3b7c174-6eff-4a3f-b1f2-843b935a04bf</x:v>
      </x:c>
      <x:c r="O55" s="113" t="str">
        <x:v>Supplier-held inventory; no NJ bin unless transferred</x:v>
      </x:c>
      <x:c r="P55" s="112" t="str">
        <x:f>A55</x:f>
        <x:v>KLA-D011-BLU-S</x:v>
      </x:c>
      <x:c r="Q55" s="112" t="str">
        <x:f>IF(COUNTIF($A$9:$A$303,A55)&gt;1,"DUPLICATE","OK")</x:f>
        <x:v>OK</x:v>
      </x:c>
    </x:row>
    <x:row r="56" ht="24" customHeight="1">
      <x:c r="A56" s="144" t="str">
        <x:f>IF(B56&lt;&gt;"",B56,"KLA-"&amp;C56&amp;"-"&amp;G56&amp;"-"&amp;H56)</x:f>
        <x:v>KLA-D011-BLU-XL</x:v>
      </x:c>
      <x:c r="B56" s="145" t="str"/>
      <x:c r="C56" s="146" t="str">
        <x:v>D011</x:v>
      </x:c>
      <x:c r="D56" s="112" t="str">
        <x:v>Lia Crystal Gown</x:v>
      </x:c>
      <x:c r="E56" s="112" t="str">
        <x:v>Dress</x:v>
      </x:c>
      <x:c r="F56" s="112" t="str">
        <x:v>Blue</x:v>
      </x:c>
      <x:c r="G56" s="146" t="str">
        <x:v>BLU</x:v>
      </x:c>
      <x:c r="H56" s="146" t="str">
        <x:v>XL</x:v>
      </x:c>
      <x:c r="I56" s="147" t="n">
        <x:v>97</x:v>
      </x:c>
      <x:c r="J56" s="112" t="str">
        <x:v>International Warehouse</x:v>
      </x:c>
      <x:c r="K56" s="148" t="str"/>
      <x:c r="L56" s="148" t="str"/>
      <x:c r="M56" s="112" t="str">
        <x:v>Published</x:v>
      </x:c>
      <x:c r="N56" s="113" t="str">
        <x:v>https://www.klarelle.store/product/d3b7c174-6eff-4a3f-b1f2-843b935a04bf</x:v>
      </x:c>
      <x:c r="O56" s="113" t="str">
        <x:v>Supplier-held inventory; no NJ bin unless transferred</x:v>
      </x:c>
      <x:c r="P56" s="112" t="str">
        <x:f>A56</x:f>
        <x:v>KLA-D011-BLU-XL</x:v>
      </x:c>
      <x:c r="Q56" s="112" t="str">
        <x:f>IF(COUNTIF($A$9:$A$303,A56)&gt;1,"DUPLICATE","OK")</x:f>
        <x:v>OK</x:v>
      </x:c>
    </x:row>
    <x:row r="57" ht="24" customHeight="1">
      <x:c r="A57" s="144" t="str">
        <x:f>IF(B57&lt;&gt;"",B57,"KLA-"&amp;C57&amp;"-"&amp;G57&amp;"-"&amp;H57)</x:f>
        <x:v>KLA-D012-PNK-L</x:v>
      </x:c>
      <x:c r="B57" s="145" t="str"/>
      <x:c r="C57" s="146" t="str">
        <x:v>D012</x:v>
      </x:c>
      <x:c r="D57" s="112" t="str">
        <x:v>Rosélle Ruffle Gown</x:v>
      </x:c>
      <x:c r="E57" s="112" t="str">
        <x:v>Dress</x:v>
      </x:c>
      <x:c r="F57" s="112" t="str">
        <x:v>Pink</x:v>
      </x:c>
      <x:c r="G57" s="146" t="str">
        <x:v>PNK</x:v>
      </x:c>
      <x:c r="H57" s="146" t="str">
        <x:v>L</x:v>
      </x:c>
      <x:c r="I57" s="147" t="n">
        <x:v>112</x:v>
      </x:c>
      <x:c r="J57" s="112" t="str">
        <x:v>International Warehouse</x:v>
      </x:c>
      <x:c r="K57" s="148" t="str"/>
      <x:c r="L57" s="148" t="str"/>
      <x:c r="M57" s="112" t="str">
        <x:v>Published</x:v>
      </x:c>
      <x:c r="N57" s="113" t="str">
        <x:v>https://www.klarelle.store/product/062e8d36-c926-4114-a4ee-d709268ef6d0</x:v>
      </x:c>
      <x:c r="O57" s="113" t="str">
        <x:v>Supplier-held inventory; no NJ bin unless transferred</x:v>
      </x:c>
      <x:c r="P57" s="112" t="str">
        <x:f>A57</x:f>
        <x:v>KLA-D012-PNK-L</x:v>
      </x:c>
      <x:c r="Q57" s="112" t="str">
        <x:f>IF(COUNTIF($A$9:$A$303,A57)&gt;1,"DUPLICATE","OK")</x:f>
        <x:v>OK</x:v>
      </x:c>
    </x:row>
    <x:row r="58" ht="24" customHeight="1">
      <x:c r="A58" s="144" t="str">
        <x:f>IF(B58&lt;&gt;"",B58,"KLA-"&amp;C58&amp;"-"&amp;G58&amp;"-"&amp;H58)</x:f>
        <x:v>KLA-D012-PNK-M</x:v>
      </x:c>
      <x:c r="B58" s="145" t="str"/>
      <x:c r="C58" s="146" t="str">
        <x:v>D012</x:v>
      </x:c>
      <x:c r="D58" s="112" t="str">
        <x:v>Rosélle Ruffle Gown</x:v>
      </x:c>
      <x:c r="E58" s="112" t="str">
        <x:v>Dress</x:v>
      </x:c>
      <x:c r="F58" s="112" t="str">
        <x:v>Pink</x:v>
      </x:c>
      <x:c r="G58" s="146" t="str">
        <x:v>PNK</x:v>
      </x:c>
      <x:c r="H58" s="146" t="str">
        <x:v>M</x:v>
      </x:c>
      <x:c r="I58" s="147" t="n">
        <x:v>112</x:v>
      </x:c>
      <x:c r="J58" s="112" t="str">
        <x:v>International Warehouse</x:v>
      </x:c>
      <x:c r="K58" s="148" t="str"/>
      <x:c r="L58" s="148" t="str"/>
      <x:c r="M58" s="112" t="str">
        <x:v>Published</x:v>
      </x:c>
      <x:c r="N58" s="113" t="str">
        <x:v>https://www.klarelle.store/product/062e8d36-c926-4114-a4ee-d709268ef6d0</x:v>
      </x:c>
      <x:c r="O58" s="113" t="str">
        <x:v>Supplier-held inventory; no NJ bin unless transferred</x:v>
      </x:c>
      <x:c r="P58" s="112" t="str">
        <x:f>A58</x:f>
        <x:v>KLA-D012-PNK-M</x:v>
      </x:c>
      <x:c r="Q58" s="112" t="str">
        <x:f>IF(COUNTIF($A$9:$A$303,A58)&gt;1,"DUPLICATE","OK")</x:f>
        <x:v>OK</x:v>
      </x:c>
    </x:row>
    <x:row r="59" ht="24" customHeight="1">
      <x:c r="A59" s="144" t="str">
        <x:f>IF(B59&lt;&gt;"",B59,"KLA-"&amp;C59&amp;"-"&amp;G59&amp;"-"&amp;H59)</x:f>
        <x:v>KLA-D012-PNK-S</x:v>
      </x:c>
      <x:c r="B59" s="145" t="str"/>
      <x:c r="C59" s="146" t="str">
        <x:v>D012</x:v>
      </x:c>
      <x:c r="D59" s="112" t="str">
        <x:v>Rosélle Ruffle Gown</x:v>
      </x:c>
      <x:c r="E59" s="112" t="str">
        <x:v>Dress</x:v>
      </x:c>
      <x:c r="F59" s="112" t="str">
        <x:v>Pink</x:v>
      </x:c>
      <x:c r="G59" s="146" t="str">
        <x:v>PNK</x:v>
      </x:c>
      <x:c r="H59" s="146" t="str">
        <x:v>S</x:v>
      </x:c>
      <x:c r="I59" s="147" t="n">
        <x:v>112</x:v>
      </x:c>
      <x:c r="J59" s="112" t="str">
        <x:v>International Warehouse</x:v>
      </x:c>
      <x:c r="K59" s="148" t="str"/>
      <x:c r="L59" s="148" t="str"/>
      <x:c r="M59" s="112" t="str">
        <x:v>Published</x:v>
      </x:c>
      <x:c r="N59" s="113" t="str">
        <x:v>https://www.klarelle.store/product/062e8d36-c926-4114-a4ee-d709268ef6d0</x:v>
      </x:c>
      <x:c r="O59" s="113" t="str">
        <x:v>Supplier-held inventory; no NJ bin unless transferred</x:v>
      </x:c>
      <x:c r="P59" s="112" t="str">
        <x:f>A59</x:f>
        <x:v>KLA-D012-PNK-S</x:v>
      </x:c>
      <x:c r="Q59" s="112" t="str">
        <x:f>IF(COUNTIF($A$9:$A$303,A59)&gt;1,"DUPLICATE","OK")</x:f>
        <x:v>OK</x:v>
      </x:c>
    </x:row>
    <x:row r="60" ht="24" customHeight="1">
      <x:c r="A60" s="144" t="str">
        <x:f>IF(B60&lt;&gt;"",B60,"KLA-"&amp;C60&amp;"-"&amp;G60&amp;"-"&amp;H60)</x:f>
        <x:v>KLA-D012-PNK-XL</x:v>
      </x:c>
      <x:c r="B60" s="145" t="str"/>
      <x:c r="C60" s="146" t="str">
        <x:v>D012</x:v>
      </x:c>
      <x:c r="D60" s="112" t="str">
        <x:v>Rosélle Ruffle Gown</x:v>
      </x:c>
      <x:c r="E60" s="112" t="str">
        <x:v>Dress</x:v>
      </x:c>
      <x:c r="F60" s="112" t="str">
        <x:v>Pink</x:v>
      </x:c>
      <x:c r="G60" s="146" t="str">
        <x:v>PNK</x:v>
      </x:c>
      <x:c r="H60" s="146" t="str">
        <x:v>XL</x:v>
      </x:c>
      <x:c r="I60" s="147" t="n">
        <x:v>112</x:v>
      </x:c>
      <x:c r="J60" s="112" t="str">
        <x:v>International Warehouse</x:v>
      </x:c>
      <x:c r="K60" s="148" t="str"/>
      <x:c r="L60" s="148" t="str"/>
      <x:c r="M60" s="112" t="str">
        <x:v>Published</x:v>
      </x:c>
      <x:c r="N60" s="113" t="str">
        <x:v>https://www.klarelle.store/product/062e8d36-c926-4114-a4ee-d709268ef6d0</x:v>
      </x:c>
      <x:c r="O60" s="113" t="str">
        <x:v>Supplier-held inventory; no NJ bin unless transferred</x:v>
      </x:c>
      <x:c r="P60" s="112" t="str">
        <x:f>A60</x:f>
        <x:v>KLA-D012-PNK-XL</x:v>
      </x:c>
      <x:c r="Q60" s="112" t="str">
        <x:f>IF(COUNTIF($A$9:$A$303,A60)&gt;1,"DUPLICATE","OK")</x:f>
        <x:v>OK</x:v>
      </x:c>
    </x:row>
    <x:row r="61" ht="24" customHeight="1">
      <x:c r="A61" s="144" t="str">
        <x:f>IF(B61&lt;&gt;"",B61,"KLA-"&amp;C61&amp;"-"&amp;G61&amp;"-"&amp;H61)</x:f>
        <x:v>KLA-D013-BRN-L</x:v>
      </x:c>
      <x:c r="B61" s="145" t="str"/>
      <x:c r="C61" s="146" t="str">
        <x:v>D013</x:v>
      </x:c>
      <x:c r="D61" s="112" t="str">
        <x:v>Maison Fleur Gown</x:v>
      </x:c>
      <x:c r="E61" s="112" t="str">
        <x:v>Dress</x:v>
      </x:c>
      <x:c r="F61" s="112" t="str">
        <x:v>Brown</x:v>
      </x:c>
      <x:c r="G61" s="146" t="str">
        <x:v>BRN</x:v>
      </x:c>
      <x:c r="H61" s="146" t="str">
        <x:v>L</x:v>
      </x:c>
      <x:c r="I61" s="147" t="n">
        <x:v>109</x:v>
      </x:c>
      <x:c r="J61" s="112" t="str">
        <x:v>International Warehouse</x:v>
      </x:c>
      <x:c r="K61" s="148" t="str"/>
      <x:c r="L61" s="148" t="str"/>
      <x:c r="M61" s="112" t="str">
        <x:v>Published</x:v>
      </x:c>
      <x:c r="N61" s="113" t="str">
        <x:v>https://www.klarelle.store/product/c5b2a9b3-0009-4c71-af63-cc4a0784638f</x:v>
      </x:c>
      <x:c r="O61" s="113" t="str">
        <x:v>Supplier-held inventory; no NJ bin unless transferred</x:v>
      </x:c>
      <x:c r="P61" s="112" t="str">
        <x:f>A61</x:f>
        <x:v>KLA-D013-BRN-L</x:v>
      </x:c>
      <x:c r="Q61" s="112" t="str">
        <x:f>IF(COUNTIF($A$9:$A$303,A61)&gt;1,"DUPLICATE","OK")</x:f>
        <x:v>OK</x:v>
      </x:c>
    </x:row>
    <x:row r="62" ht="24" customHeight="1">
      <x:c r="A62" s="144" t="str">
        <x:f>IF(B62&lt;&gt;"",B62,"KLA-"&amp;C62&amp;"-"&amp;G62&amp;"-"&amp;H62)</x:f>
        <x:v>KLA-D013-BRN-M</x:v>
      </x:c>
      <x:c r="B62" s="145" t="str"/>
      <x:c r="C62" s="146" t="str">
        <x:v>D013</x:v>
      </x:c>
      <x:c r="D62" s="112" t="str">
        <x:v>Maison Fleur Gown</x:v>
      </x:c>
      <x:c r="E62" s="112" t="str">
        <x:v>Dress</x:v>
      </x:c>
      <x:c r="F62" s="112" t="str">
        <x:v>Brown</x:v>
      </x:c>
      <x:c r="G62" s="146" t="str">
        <x:v>BRN</x:v>
      </x:c>
      <x:c r="H62" s="146" t="str">
        <x:v>M</x:v>
      </x:c>
      <x:c r="I62" s="147" t="n">
        <x:v>109</x:v>
      </x:c>
      <x:c r="J62" s="112" t="str">
        <x:v>International Warehouse</x:v>
      </x:c>
      <x:c r="K62" s="148" t="str"/>
      <x:c r="L62" s="148" t="str"/>
      <x:c r="M62" s="112" t="str">
        <x:v>Published</x:v>
      </x:c>
      <x:c r="N62" s="113" t="str">
        <x:v>https://www.klarelle.store/product/c5b2a9b3-0009-4c71-af63-cc4a0784638f</x:v>
      </x:c>
      <x:c r="O62" s="113" t="str">
        <x:v>Supplier-held inventory; no NJ bin unless transferred</x:v>
      </x:c>
      <x:c r="P62" s="112" t="str">
        <x:f>A62</x:f>
        <x:v>KLA-D013-BRN-M</x:v>
      </x:c>
      <x:c r="Q62" s="112" t="str">
        <x:f>IF(COUNTIF($A$9:$A$303,A62)&gt;1,"DUPLICATE","OK")</x:f>
        <x:v>OK</x:v>
      </x:c>
    </x:row>
    <x:row r="63" ht="24" customHeight="1">
      <x:c r="A63" s="144" t="str">
        <x:f>IF(B63&lt;&gt;"",B63,"KLA-"&amp;C63&amp;"-"&amp;G63&amp;"-"&amp;H63)</x:f>
        <x:v>KLA-D013-BRN-S</x:v>
      </x:c>
      <x:c r="B63" s="145" t="str"/>
      <x:c r="C63" s="146" t="str">
        <x:v>D013</x:v>
      </x:c>
      <x:c r="D63" s="112" t="str">
        <x:v>Maison Fleur Gown</x:v>
      </x:c>
      <x:c r="E63" s="112" t="str">
        <x:v>Dress</x:v>
      </x:c>
      <x:c r="F63" s="112" t="str">
        <x:v>Brown</x:v>
      </x:c>
      <x:c r="G63" s="146" t="str">
        <x:v>BRN</x:v>
      </x:c>
      <x:c r="H63" s="146" t="str">
        <x:v>S</x:v>
      </x:c>
      <x:c r="I63" s="147" t="n">
        <x:v>109</x:v>
      </x:c>
      <x:c r="J63" s="112" t="str">
        <x:v>International Warehouse</x:v>
      </x:c>
      <x:c r="K63" s="148" t="str"/>
      <x:c r="L63" s="148" t="str"/>
      <x:c r="M63" s="112" t="str">
        <x:v>Published</x:v>
      </x:c>
      <x:c r="N63" s="113" t="str">
        <x:v>https://www.klarelle.store/product/c5b2a9b3-0009-4c71-af63-cc4a0784638f</x:v>
      </x:c>
      <x:c r="O63" s="113" t="str">
        <x:v>Supplier-held inventory; no NJ bin unless transferred</x:v>
      </x:c>
      <x:c r="P63" s="112" t="str">
        <x:f>A63</x:f>
        <x:v>KLA-D013-BRN-S</x:v>
      </x:c>
      <x:c r="Q63" s="112" t="str">
        <x:f>IF(COUNTIF($A$9:$A$303,A63)&gt;1,"DUPLICATE","OK")</x:f>
        <x:v>OK</x:v>
      </x:c>
    </x:row>
    <x:row r="64" ht="24" customHeight="1">
      <x:c r="A64" s="144" t="str">
        <x:f>IF(B64&lt;&gt;"",B64,"KLA-"&amp;C64&amp;"-"&amp;G64&amp;"-"&amp;H64)</x:f>
        <x:v>KLA-D013-BRN-XL</x:v>
      </x:c>
      <x:c r="B64" s="145" t="str"/>
      <x:c r="C64" s="146" t="str">
        <x:v>D013</x:v>
      </x:c>
      <x:c r="D64" s="112" t="str">
        <x:v>Maison Fleur Gown</x:v>
      </x:c>
      <x:c r="E64" s="112" t="str">
        <x:v>Dress</x:v>
      </x:c>
      <x:c r="F64" s="112" t="str">
        <x:v>Brown</x:v>
      </x:c>
      <x:c r="G64" s="146" t="str">
        <x:v>BRN</x:v>
      </x:c>
      <x:c r="H64" s="146" t="str">
        <x:v>XL</x:v>
      </x:c>
      <x:c r="I64" s="147" t="n">
        <x:v>109</x:v>
      </x:c>
      <x:c r="J64" s="112" t="str">
        <x:v>International Warehouse</x:v>
      </x:c>
      <x:c r="K64" s="148" t="str"/>
      <x:c r="L64" s="148" t="str"/>
      <x:c r="M64" s="112" t="str">
        <x:v>Published</x:v>
      </x:c>
      <x:c r="N64" s="113" t="str">
        <x:v>https://www.klarelle.store/product/c5b2a9b3-0009-4c71-af63-cc4a0784638f</x:v>
      </x:c>
      <x:c r="O64" s="113" t="str">
        <x:v>Supplier-held inventory; no NJ bin unless transferred</x:v>
      </x:c>
      <x:c r="P64" s="112" t="str">
        <x:f>A64</x:f>
        <x:v>KLA-D013-BRN-XL</x:v>
      </x:c>
      <x:c r="Q64" s="112" t="str">
        <x:f>IF(COUNTIF($A$9:$A$303,A64)&gt;1,"DUPLICATE","OK")</x:f>
        <x:v>OK</x:v>
      </x:c>
    </x:row>
    <x:row r="65" ht="24" customHeight="1">
      <x:c r="A65" s="144" t="str">
        <x:f>IF(B65&lt;&gt;"",B65,"KLA-"&amp;C65&amp;"-"&amp;G65&amp;"-"&amp;H65)</x:f>
        <x:v>KLA-D014-CRI-L</x:v>
      </x:c>
      <x:c r="B65" s="145" t="str"/>
      <x:c r="C65" s="146" t="str">
        <x:v>D014</x:v>
      </x:c>
      <x:c r="D65" s="112" t="str">
        <x:v>Rosé Valentina Gown</x:v>
      </x:c>
      <x:c r="E65" s="112" t="str">
        <x:v>Dress</x:v>
      </x:c>
      <x:c r="F65" s="112" t="str">
        <x:v>Crimson</x:v>
      </x:c>
      <x:c r="G65" s="146" t="str">
        <x:v>CRI</x:v>
      </x:c>
      <x:c r="H65" s="146" t="str">
        <x:v>L</x:v>
      </x:c>
      <x:c r="I65" s="147" t="n">
        <x:v>111</x:v>
      </x:c>
      <x:c r="J65" s="112" t="str">
        <x:v>International Warehouse</x:v>
      </x:c>
      <x:c r="K65" s="148" t="str"/>
      <x:c r="L65" s="148" t="str"/>
      <x:c r="M65" s="112" t="str">
        <x:v>Published</x:v>
      </x:c>
      <x:c r="N65" s="113" t="str">
        <x:v>https://www.klarelle.store/product/e620a02d-2596-426a-9754-9dc0ebd8ad3d</x:v>
      </x:c>
      <x:c r="O65" s="113" t="str">
        <x:v>Supplier-held inventory; no NJ bin unless transferred</x:v>
      </x:c>
      <x:c r="P65" s="112" t="str">
        <x:f>A65</x:f>
        <x:v>KLA-D014-CRI-L</x:v>
      </x:c>
      <x:c r="Q65" s="112" t="str">
        <x:f>IF(COUNTIF($A$9:$A$303,A65)&gt;1,"DUPLICATE","OK")</x:f>
        <x:v>OK</x:v>
      </x:c>
    </x:row>
    <x:row r="66" ht="24" customHeight="1">
      <x:c r="A66" s="144" t="str">
        <x:f>IF(B66&lt;&gt;"",B66,"KLA-"&amp;C66&amp;"-"&amp;G66&amp;"-"&amp;H66)</x:f>
        <x:v>KLA-D014-CRI-M</x:v>
      </x:c>
      <x:c r="B66" s="145" t="str"/>
      <x:c r="C66" s="146" t="str">
        <x:v>D014</x:v>
      </x:c>
      <x:c r="D66" s="112" t="str">
        <x:v>Rosé Valentina Gown</x:v>
      </x:c>
      <x:c r="E66" s="112" t="str">
        <x:v>Dress</x:v>
      </x:c>
      <x:c r="F66" s="112" t="str">
        <x:v>Crimson</x:v>
      </x:c>
      <x:c r="G66" s="146" t="str">
        <x:v>CRI</x:v>
      </x:c>
      <x:c r="H66" s="146" t="str">
        <x:v>M</x:v>
      </x:c>
      <x:c r="I66" s="147" t="n">
        <x:v>111</x:v>
      </x:c>
      <x:c r="J66" s="112" t="str">
        <x:v>International Warehouse</x:v>
      </x:c>
      <x:c r="K66" s="148" t="str"/>
      <x:c r="L66" s="148" t="str"/>
      <x:c r="M66" s="112" t="str">
        <x:v>Published</x:v>
      </x:c>
      <x:c r="N66" s="113" t="str">
        <x:v>https://www.klarelle.store/product/e620a02d-2596-426a-9754-9dc0ebd8ad3d</x:v>
      </x:c>
      <x:c r="O66" s="113" t="str">
        <x:v>Supplier-held inventory; no NJ bin unless transferred</x:v>
      </x:c>
      <x:c r="P66" s="112" t="str">
        <x:f>A66</x:f>
        <x:v>KLA-D014-CRI-M</x:v>
      </x:c>
      <x:c r="Q66" s="112" t="str">
        <x:f>IF(COUNTIF($A$9:$A$303,A66)&gt;1,"DUPLICATE","OK")</x:f>
        <x:v>OK</x:v>
      </x:c>
    </x:row>
    <x:row r="67" ht="24" customHeight="1">
      <x:c r="A67" s="144" t="str">
        <x:f>IF(B67&lt;&gt;"",B67,"KLA-"&amp;C67&amp;"-"&amp;G67&amp;"-"&amp;H67)</x:f>
        <x:v>KLA-D014-CRI-S</x:v>
      </x:c>
      <x:c r="B67" s="145" t="str"/>
      <x:c r="C67" s="146" t="str">
        <x:v>D014</x:v>
      </x:c>
      <x:c r="D67" s="112" t="str">
        <x:v>Rosé Valentina Gown</x:v>
      </x:c>
      <x:c r="E67" s="112" t="str">
        <x:v>Dress</x:v>
      </x:c>
      <x:c r="F67" s="112" t="str">
        <x:v>Crimson</x:v>
      </x:c>
      <x:c r="G67" s="146" t="str">
        <x:v>CRI</x:v>
      </x:c>
      <x:c r="H67" s="146" t="str">
        <x:v>S</x:v>
      </x:c>
      <x:c r="I67" s="147" t="n">
        <x:v>111</x:v>
      </x:c>
      <x:c r="J67" s="112" t="str">
        <x:v>International Warehouse</x:v>
      </x:c>
      <x:c r="K67" s="148" t="str"/>
      <x:c r="L67" s="148" t="str"/>
      <x:c r="M67" s="112" t="str">
        <x:v>Published</x:v>
      </x:c>
      <x:c r="N67" s="113" t="str">
        <x:v>https://www.klarelle.store/product/e620a02d-2596-426a-9754-9dc0ebd8ad3d</x:v>
      </x:c>
      <x:c r="O67" s="113" t="str">
        <x:v>Supplier-held inventory; no NJ bin unless transferred</x:v>
      </x:c>
      <x:c r="P67" s="112" t="str">
        <x:f>A67</x:f>
        <x:v>KLA-D014-CRI-S</x:v>
      </x:c>
      <x:c r="Q67" s="112" t="str">
        <x:f>IF(COUNTIF($A$9:$A$303,A67)&gt;1,"DUPLICATE","OK")</x:f>
        <x:v>OK</x:v>
      </x:c>
    </x:row>
    <x:row r="68" ht="24" customHeight="1">
      <x:c r="A68" s="144" t="str">
        <x:f>IF(B68&lt;&gt;"",B68,"KLA-"&amp;C68&amp;"-"&amp;G68&amp;"-"&amp;H68)</x:f>
        <x:v>KLA-D014-CRI-XL</x:v>
      </x:c>
      <x:c r="B68" s="145" t="str"/>
      <x:c r="C68" s="146" t="str">
        <x:v>D014</x:v>
      </x:c>
      <x:c r="D68" s="112" t="str">
        <x:v>Rosé Valentina Gown</x:v>
      </x:c>
      <x:c r="E68" s="112" t="str">
        <x:v>Dress</x:v>
      </x:c>
      <x:c r="F68" s="112" t="str">
        <x:v>Crimson</x:v>
      </x:c>
      <x:c r="G68" s="146" t="str">
        <x:v>CRI</x:v>
      </x:c>
      <x:c r="H68" s="146" t="str">
        <x:v>XL</x:v>
      </x:c>
      <x:c r="I68" s="147" t="n">
        <x:v>111</x:v>
      </x:c>
      <x:c r="J68" s="112" t="str">
        <x:v>International Warehouse</x:v>
      </x:c>
      <x:c r="K68" s="148" t="str"/>
      <x:c r="L68" s="148" t="str"/>
      <x:c r="M68" s="112" t="str">
        <x:v>Published</x:v>
      </x:c>
      <x:c r="N68" s="113" t="str">
        <x:v>https://www.klarelle.store/product/e620a02d-2596-426a-9754-9dc0ebd8ad3d</x:v>
      </x:c>
      <x:c r="O68" s="113" t="str">
        <x:v>Supplier-held inventory; no NJ bin unless transferred</x:v>
      </x:c>
      <x:c r="P68" s="112" t="str">
        <x:f>A68</x:f>
        <x:v>KLA-D014-CRI-XL</x:v>
      </x:c>
      <x:c r="Q68" s="112" t="str">
        <x:f>IF(COUNTIF($A$9:$A$303,A68)&gt;1,"DUPLICATE","OK")</x:f>
        <x:v>OK</x:v>
      </x:c>
    </x:row>
    <x:row r="69" ht="24" customHeight="1">
      <x:c r="A69" s="144" t="str">
        <x:f>IF(B69&lt;&gt;"",B69,"KLA-"&amp;C69&amp;"-"&amp;G69&amp;"-"&amp;H69)</x:f>
        <x:v>KLA-D015-BLK-L</x:v>
      </x:c>
      <x:c r="B69" s="145" t="str"/>
      <x:c r="C69" s="146" t="str">
        <x:v>D015</x:v>
      </x:c>
      <x:c r="D69" s="112" t="str">
        <x:v>Mel Dress</x:v>
      </x:c>
      <x:c r="E69" s="112" t="str">
        <x:v>Dress</x:v>
      </x:c>
      <x:c r="F69" s="112" t="str">
        <x:v>Black</x:v>
      </x:c>
      <x:c r="G69" s="146" t="str">
        <x:v>BLK</x:v>
      </x:c>
      <x:c r="H69" s="146" t="str">
        <x:v>L</x:v>
      </x:c>
      <x:c r="I69" s="147" t="n">
        <x:v>99</x:v>
      </x:c>
      <x:c r="J69" s="112" t="str">
        <x:v>International Warehouse</x:v>
      </x:c>
      <x:c r="K69" s="148" t="str"/>
      <x:c r="L69" s="148" t="str"/>
      <x:c r="M69" s="112" t="str">
        <x:v>Published</x:v>
      </x:c>
      <x:c r="N69" s="113" t="str">
        <x:v>https://www.klarelle.store/product/45c1dd65-d461-4cf5-bc25-dd974598bbc9</x:v>
      </x:c>
      <x:c r="O69" s="113" t="str">
        <x:v>Supplier-held inventory; no NJ bin unless transferred</x:v>
      </x:c>
      <x:c r="P69" s="112" t="str">
        <x:f>A69</x:f>
        <x:v>KLA-D015-BLK-L</x:v>
      </x:c>
      <x:c r="Q69" s="112" t="str">
        <x:f>IF(COUNTIF($A$9:$A$303,A69)&gt;1,"DUPLICATE","OK")</x:f>
        <x:v>OK</x:v>
      </x:c>
    </x:row>
    <x:row r="70" ht="24" customHeight="1">
      <x:c r="A70" s="144" t="str">
        <x:f>IF(B70&lt;&gt;"",B70,"KLA-"&amp;C70&amp;"-"&amp;G70&amp;"-"&amp;H70)</x:f>
        <x:v>KLA-D015-BLK-M</x:v>
      </x:c>
      <x:c r="B70" s="145" t="str"/>
      <x:c r="C70" s="146" t="str">
        <x:v>D015</x:v>
      </x:c>
      <x:c r="D70" s="112" t="str">
        <x:v>Mel Dress</x:v>
      </x:c>
      <x:c r="E70" s="112" t="str">
        <x:v>Dress</x:v>
      </x:c>
      <x:c r="F70" s="112" t="str">
        <x:v>Black</x:v>
      </x:c>
      <x:c r="G70" s="146" t="str">
        <x:v>BLK</x:v>
      </x:c>
      <x:c r="H70" s="146" t="str">
        <x:v>M</x:v>
      </x:c>
      <x:c r="I70" s="147" t="n">
        <x:v>99</x:v>
      </x:c>
      <x:c r="J70" s="112" t="str">
        <x:v>International Warehouse</x:v>
      </x:c>
      <x:c r="K70" s="148" t="str"/>
      <x:c r="L70" s="148" t="str"/>
      <x:c r="M70" s="112" t="str">
        <x:v>Published</x:v>
      </x:c>
      <x:c r="N70" s="113" t="str">
        <x:v>https://www.klarelle.store/product/45c1dd65-d461-4cf5-bc25-dd974598bbc9</x:v>
      </x:c>
      <x:c r="O70" s="113" t="str">
        <x:v>Supplier-held inventory; no NJ bin unless transferred</x:v>
      </x:c>
      <x:c r="P70" s="112" t="str">
        <x:f>A70</x:f>
        <x:v>KLA-D015-BLK-M</x:v>
      </x:c>
      <x:c r="Q70" s="112" t="str">
        <x:f>IF(COUNTIF($A$9:$A$303,A70)&gt;1,"DUPLICATE","OK")</x:f>
        <x:v>OK</x:v>
      </x:c>
    </x:row>
    <x:row r="71" ht="24" customHeight="1">
      <x:c r="A71" s="144" t="str">
        <x:f>IF(B71&lt;&gt;"",B71,"KLA-"&amp;C71&amp;"-"&amp;G71&amp;"-"&amp;H71)</x:f>
        <x:v>KLA-D015-BLK-S</x:v>
      </x:c>
      <x:c r="B71" s="145" t="str"/>
      <x:c r="C71" s="146" t="str">
        <x:v>D015</x:v>
      </x:c>
      <x:c r="D71" s="112" t="str">
        <x:v>Mel Dress</x:v>
      </x:c>
      <x:c r="E71" s="112" t="str">
        <x:v>Dress</x:v>
      </x:c>
      <x:c r="F71" s="112" t="str">
        <x:v>Black</x:v>
      </x:c>
      <x:c r="G71" s="146" t="str">
        <x:v>BLK</x:v>
      </x:c>
      <x:c r="H71" s="146" t="str">
        <x:v>S</x:v>
      </x:c>
      <x:c r="I71" s="147" t="n">
        <x:v>99</x:v>
      </x:c>
      <x:c r="J71" s="112" t="str">
        <x:v>International Warehouse</x:v>
      </x:c>
      <x:c r="K71" s="148" t="str"/>
      <x:c r="L71" s="148" t="str"/>
      <x:c r="M71" s="112" t="str">
        <x:v>Published</x:v>
      </x:c>
      <x:c r="N71" s="113" t="str">
        <x:v>https://www.klarelle.store/product/45c1dd65-d461-4cf5-bc25-dd974598bbc9</x:v>
      </x:c>
      <x:c r="O71" s="113" t="str">
        <x:v>Supplier-held inventory; no NJ bin unless transferred</x:v>
      </x:c>
      <x:c r="P71" s="112" t="str">
        <x:f>A71</x:f>
        <x:v>KLA-D015-BLK-S</x:v>
      </x:c>
      <x:c r="Q71" s="112" t="str">
        <x:f>IF(COUNTIF($A$9:$A$303,A71)&gt;1,"DUPLICATE","OK")</x:f>
        <x:v>OK</x:v>
      </x:c>
    </x:row>
    <x:row r="72" ht="24" customHeight="1">
      <x:c r="A72" s="144" t="str">
        <x:f>IF(B72&lt;&gt;"",B72,"KLA-"&amp;C72&amp;"-"&amp;G72&amp;"-"&amp;H72)</x:f>
        <x:v>KLA-D015-BLK-XL</x:v>
      </x:c>
      <x:c r="B72" s="145" t="str"/>
      <x:c r="C72" s="146" t="str">
        <x:v>D015</x:v>
      </x:c>
      <x:c r="D72" s="112" t="str">
        <x:v>Mel Dress</x:v>
      </x:c>
      <x:c r="E72" s="112" t="str">
        <x:v>Dress</x:v>
      </x:c>
      <x:c r="F72" s="112" t="str">
        <x:v>Black</x:v>
      </x:c>
      <x:c r="G72" s="146" t="str">
        <x:v>BLK</x:v>
      </x:c>
      <x:c r="H72" s="146" t="str">
        <x:v>XL</x:v>
      </x:c>
      <x:c r="I72" s="147" t="n">
        <x:v>99</x:v>
      </x:c>
      <x:c r="J72" s="112" t="str">
        <x:v>International Warehouse</x:v>
      </x:c>
      <x:c r="K72" s="148" t="str"/>
      <x:c r="L72" s="148" t="str"/>
      <x:c r="M72" s="112" t="str">
        <x:v>Published</x:v>
      </x:c>
      <x:c r="N72" s="113" t="str">
        <x:v>https://www.klarelle.store/product/45c1dd65-d461-4cf5-bc25-dd974598bbc9</x:v>
      </x:c>
      <x:c r="O72" s="113" t="str">
        <x:v>Supplier-held inventory; no NJ bin unless transferred</x:v>
      </x:c>
      <x:c r="P72" s="112" t="str">
        <x:f>A72</x:f>
        <x:v>KLA-D015-BLK-XL</x:v>
      </x:c>
      <x:c r="Q72" s="112" t="str">
        <x:f>IF(COUNTIF($A$9:$A$303,A72)&gt;1,"DUPLICATE","OK")</x:f>
        <x:v>OK</x:v>
      </x:c>
    </x:row>
    <x:row r="73" ht="24" customHeight="1">
      <x:c r="A73" s="144" t="str">
        <x:f>IF(B73&lt;&gt;"",B73,"KLA-"&amp;C73&amp;"-"&amp;G73&amp;"-"&amp;H73)</x:f>
        <x:v>KLA-D016-GLD-L</x:v>
      </x:c>
      <x:c r="B73" s="145" t="str"/>
      <x:c r="C73" s="146" t="str">
        <x:v>D016</x:v>
      </x:c>
      <x:c r="D73" s="112" t="str">
        <x:v>Anne Marie Fringe Dress</x:v>
      </x:c>
      <x:c r="E73" s="112" t="str">
        <x:v>Dress</x:v>
      </x:c>
      <x:c r="F73" s="112" t="str">
        <x:v>Gold</x:v>
      </x:c>
      <x:c r="G73" s="146" t="str">
        <x:v>GLD</x:v>
      </x:c>
      <x:c r="H73" s="146" t="str">
        <x:v>L</x:v>
      </x:c>
      <x:c r="I73" s="147" t="n">
        <x:v>112</x:v>
      </x:c>
      <x:c r="J73" s="112" t="str">
        <x:v>International Warehouse</x:v>
      </x:c>
      <x:c r="K73" s="148" t="str"/>
      <x:c r="L73" s="148" t="str"/>
      <x:c r="M73" s="112" t="str">
        <x:v>Published</x:v>
      </x:c>
      <x:c r="N73" s="113" t="str">
        <x:v>https://www.klarelle.store/product/9e48b6ed-4868-4a4c-a96d-13dbcec9089e</x:v>
      </x:c>
      <x:c r="O73" s="113" t="str">
        <x:v>Supplier-held inventory; no NJ bin unless transferred</x:v>
      </x:c>
      <x:c r="P73" s="112" t="str">
        <x:f>A73</x:f>
        <x:v>KLA-D016-GLD-L</x:v>
      </x:c>
      <x:c r="Q73" s="112" t="str">
        <x:f>IF(COUNTIF($A$9:$A$303,A73)&gt;1,"DUPLICATE","OK")</x:f>
        <x:v>OK</x:v>
      </x:c>
    </x:row>
    <x:row r="74" ht="24" customHeight="1">
      <x:c r="A74" s="144" t="str">
        <x:f>IF(B74&lt;&gt;"",B74,"KLA-"&amp;C74&amp;"-"&amp;G74&amp;"-"&amp;H74)</x:f>
        <x:v>KLA-D016-GLD-M</x:v>
      </x:c>
      <x:c r="B74" s="145" t="str"/>
      <x:c r="C74" s="146" t="str">
        <x:v>D016</x:v>
      </x:c>
      <x:c r="D74" s="112" t="str">
        <x:v>Anne Marie Fringe Dress</x:v>
      </x:c>
      <x:c r="E74" s="112" t="str">
        <x:v>Dress</x:v>
      </x:c>
      <x:c r="F74" s="112" t="str">
        <x:v>Gold</x:v>
      </x:c>
      <x:c r="G74" s="146" t="str">
        <x:v>GLD</x:v>
      </x:c>
      <x:c r="H74" s="146" t="str">
        <x:v>M</x:v>
      </x:c>
      <x:c r="I74" s="147" t="n">
        <x:v>112</x:v>
      </x:c>
      <x:c r="J74" s="112" t="str">
        <x:v>International Warehouse</x:v>
      </x:c>
      <x:c r="K74" s="148" t="str"/>
      <x:c r="L74" s="148" t="str"/>
      <x:c r="M74" s="112" t="str">
        <x:v>Published</x:v>
      </x:c>
      <x:c r="N74" s="113" t="str">
        <x:v>https://www.klarelle.store/product/9e48b6ed-4868-4a4c-a96d-13dbcec9089e</x:v>
      </x:c>
      <x:c r="O74" s="113" t="str">
        <x:v>Supplier-held inventory; no NJ bin unless transferred</x:v>
      </x:c>
      <x:c r="P74" s="112" t="str">
        <x:f>A74</x:f>
        <x:v>KLA-D016-GLD-M</x:v>
      </x:c>
      <x:c r="Q74" s="112" t="str">
        <x:f>IF(COUNTIF($A$9:$A$303,A74)&gt;1,"DUPLICATE","OK")</x:f>
        <x:v>OK</x:v>
      </x:c>
    </x:row>
    <x:row r="75" ht="24" customHeight="1">
      <x:c r="A75" s="144" t="str">
        <x:f>IF(B75&lt;&gt;"",B75,"KLA-"&amp;C75&amp;"-"&amp;G75&amp;"-"&amp;H75)</x:f>
        <x:v>KLA-D016-GLD-S</x:v>
      </x:c>
      <x:c r="B75" s="145" t="str"/>
      <x:c r="C75" s="146" t="str">
        <x:v>D016</x:v>
      </x:c>
      <x:c r="D75" s="112" t="str">
        <x:v>Anne Marie Fringe Dress</x:v>
      </x:c>
      <x:c r="E75" s="112" t="str">
        <x:v>Dress</x:v>
      </x:c>
      <x:c r="F75" s="112" t="str">
        <x:v>Gold</x:v>
      </x:c>
      <x:c r="G75" s="146" t="str">
        <x:v>GLD</x:v>
      </x:c>
      <x:c r="H75" s="146" t="str">
        <x:v>S</x:v>
      </x:c>
      <x:c r="I75" s="147" t="n">
        <x:v>112</x:v>
      </x:c>
      <x:c r="J75" s="112" t="str">
        <x:v>International Warehouse</x:v>
      </x:c>
      <x:c r="K75" s="148" t="str"/>
      <x:c r="L75" s="148" t="str"/>
      <x:c r="M75" s="112" t="str">
        <x:v>Published</x:v>
      </x:c>
      <x:c r="N75" s="113" t="str">
        <x:v>https://www.klarelle.store/product/9e48b6ed-4868-4a4c-a96d-13dbcec9089e</x:v>
      </x:c>
      <x:c r="O75" s="113" t="str">
        <x:v>Supplier-held inventory; no NJ bin unless transferred</x:v>
      </x:c>
      <x:c r="P75" s="112" t="str">
        <x:f>A75</x:f>
        <x:v>KLA-D016-GLD-S</x:v>
      </x:c>
      <x:c r="Q75" s="112" t="str">
        <x:f>IF(COUNTIF($A$9:$A$303,A75)&gt;1,"DUPLICATE","OK")</x:f>
        <x:v>OK</x:v>
      </x:c>
    </x:row>
    <x:row r="76" ht="24" customHeight="1">
      <x:c r="A76" s="144" t="str">
        <x:f>IF(B76&lt;&gt;"",B76,"KLA-"&amp;C76&amp;"-"&amp;G76&amp;"-"&amp;H76)</x:f>
        <x:v>KLA-D016-GLD-XL</x:v>
      </x:c>
      <x:c r="B76" s="145" t="str"/>
      <x:c r="C76" s="146" t="str">
        <x:v>D016</x:v>
      </x:c>
      <x:c r="D76" s="112" t="str">
        <x:v>Anne Marie Fringe Dress</x:v>
      </x:c>
      <x:c r="E76" s="112" t="str">
        <x:v>Dress</x:v>
      </x:c>
      <x:c r="F76" s="112" t="str">
        <x:v>Gold</x:v>
      </x:c>
      <x:c r="G76" s="146" t="str">
        <x:v>GLD</x:v>
      </x:c>
      <x:c r="H76" s="146" t="str">
        <x:v>XL</x:v>
      </x:c>
      <x:c r="I76" s="147" t="n">
        <x:v>112</x:v>
      </x:c>
      <x:c r="J76" s="112" t="str">
        <x:v>International Warehouse</x:v>
      </x:c>
      <x:c r="K76" s="148" t="str"/>
      <x:c r="L76" s="148" t="str"/>
      <x:c r="M76" s="112" t="str">
        <x:v>Published</x:v>
      </x:c>
      <x:c r="N76" s="113" t="str">
        <x:v>https://www.klarelle.store/product/9e48b6ed-4868-4a4c-a96d-13dbcec9089e</x:v>
      </x:c>
      <x:c r="O76" s="113" t="str">
        <x:v>Supplier-held inventory; no NJ bin unless transferred</x:v>
      </x:c>
      <x:c r="P76" s="112" t="str">
        <x:f>A76</x:f>
        <x:v>KLA-D016-GLD-XL</x:v>
      </x:c>
      <x:c r="Q76" s="112" t="str">
        <x:f>IF(COUNTIF($A$9:$A$303,A76)&gt;1,"DUPLICATE","OK")</x:f>
        <x:v>OK</x:v>
      </x:c>
    </x:row>
    <x:row r="77" ht="24" customHeight="1">
      <x:c r="A77" s="144" t="str">
        <x:f>IF(B77&lt;&gt;"",B77,"KLA-"&amp;C77&amp;"-"&amp;G77&amp;"-"&amp;H77)</x:f>
        <x:v>KLA-D017-GRY-L</x:v>
      </x:c>
      <x:c r="B77" s="145" t="str"/>
      <x:c r="C77" s="146" t="str">
        <x:v>D017</x:v>
      </x:c>
      <x:c r="D77" s="112" t="str">
        <x:v>Elia Fringe Dress</x:v>
      </x:c>
      <x:c r="E77" s="112" t="str">
        <x:v>Dress</x:v>
      </x:c>
      <x:c r="F77" s="112" t="str">
        <x:v>Grey</x:v>
      </x:c>
      <x:c r="G77" s="146" t="str">
        <x:v>GRY</x:v>
      </x:c>
      <x:c r="H77" s="146" t="str">
        <x:v>L</x:v>
      </x:c>
      <x:c r="I77" s="147" t="n">
        <x:v>109</x:v>
      </x:c>
      <x:c r="J77" s="112" t="str">
        <x:v>International Warehouse</x:v>
      </x:c>
      <x:c r="K77" s="148" t="str"/>
      <x:c r="L77" s="148" t="str"/>
      <x:c r="M77" s="112" t="str">
        <x:v>Published</x:v>
      </x:c>
      <x:c r="N77" s="113" t="str">
        <x:v>https://www.klarelle.store/product/c104abbe-87a2-4e0a-9be3-4fe13f06cfdf</x:v>
      </x:c>
      <x:c r="O77" s="113" t="str">
        <x:v>Supplier-held inventory; no NJ bin unless transferred</x:v>
      </x:c>
      <x:c r="P77" s="112" t="str">
        <x:f>A77</x:f>
        <x:v>KLA-D017-GRY-L</x:v>
      </x:c>
      <x:c r="Q77" s="112" t="str">
        <x:f>IF(COUNTIF($A$9:$A$303,A77)&gt;1,"DUPLICATE","OK")</x:f>
        <x:v>OK</x:v>
      </x:c>
    </x:row>
    <x:row r="78" ht="24" customHeight="1">
      <x:c r="A78" s="144" t="str">
        <x:f>IF(B78&lt;&gt;"",B78,"KLA-"&amp;C78&amp;"-"&amp;G78&amp;"-"&amp;H78)</x:f>
        <x:v>KLA-D017-GRY-M</x:v>
      </x:c>
      <x:c r="B78" s="145" t="str"/>
      <x:c r="C78" s="146" t="str">
        <x:v>D017</x:v>
      </x:c>
      <x:c r="D78" s="112" t="str">
        <x:v>Elia Fringe Dress</x:v>
      </x:c>
      <x:c r="E78" s="112" t="str">
        <x:v>Dress</x:v>
      </x:c>
      <x:c r="F78" s="112" t="str">
        <x:v>Grey</x:v>
      </x:c>
      <x:c r="G78" s="146" t="str">
        <x:v>GRY</x:v>
      </x:c>
      <x:c r="H78" s="146" t="str">
        <x:v>M</x:v>
      </x:c>
      <x:c r="I78" s="147" t="n">
        <x:v>109</x:v>
      </x:c>
      <x:c r="J78" s="112" t="str">
        <x:v>International Warehouse</x:v>
      </x:c>
      <x:c r="K78" s="148" t="str"/>
      <x:c r="L78" s="148" t="str"/>
      <x:c r="M78" s="112" t="str">
        <x:v>Published</x:v>
      </x:c>
      <x:c r="N78" s="113" t="str">
        <x:v>https://www.klarelle.store/product/c104abbe-87a2-4e0a-9be3-4fe13f06cfdf</x:v>
      </x:c>
      <x:c r="O78" s="113" t="str">
        <x:v>Supplier-held inventory; no NJ bin unless transferred</x:v>
      </x:c>
      <x:c r="P78" s="112" t="str">
        <x:f>A78</x:f>
        <x:v>KLA-D017-GRY-M</x:v>
      </x:c>
      <x:c r="Q78" s="112" t="str">
        <x:f>IF(COUNTIF($A$9:$A$303,A78)&gt;1,"DUPLICATE","OK")</x:f>
        <x:v>OK</x:v>
      </x:c>
    </x:row>
    <x:row r="79" ht="24" customHeight="1">
      <x:c r="A79" s="144" t="str">
        <x:f>IF(B79&lt;&gt;"",B79,"KLA-"&amp;C79&amp;"-"&amp;G79&amp;"-"&amp;H79)</x:f>
        <x:v>KLA-D017-GRY-S</x:v>
      </x:c>
      <x:c r="B79" s="145" t="str"/>
      <x:c r="C79" s="146" t="str">
        <x:v>D017</x:v>
      </x:c>
      <x:c r="D79" s="112" t="str">
        <x:v>Elia Fringe Dress</x:v>
      </x:c>
      <x:c r="E79" s="112" t="str">
        <x:v>Dress</x:v>
      </x:c>
      <x:c r="F79" s="112" t="str">
        <x:v>Grey</x:v>
      </x:c>
      <x:c r="G79" s="146" t="str">
        <x:v>GRY</x:v>
      </x:c>
      <x:c r="H79" s="146" t="str">
        <x:v>S</x:v>
      </x:c>
      <x:c r="I79" s="147" t="n">
        <x:v>109</x:v>
      </x:c>
      <x:c r="J79" s="112" t="str">
        <x:v>International Warehouse</x:v>
      </x:c>
      <x:c r="K79" s="148" t="str"/>
      <x:c r="L79" s="148" t="str"/>
      <x:c r="M79" s="112" t="str">
        <x:v>Published</x:v>
      </x:c>
      <x:c r="N79" s="113" t="str">
        <x:v>https://www.klarelle.store/product/c104abbe-87a2-4e0a-9be3-4fe13f06cfdf</x:v>
      </x:c>
      <x:c r="O79" s="113" t="str">
        <x:v>Supplier-held inventory; no NJ bin unless transferred</x:v>
      </x:c>
      <x:c r="P79" s="112" t="str">
        <x:f>A79</x:f>
        <x:v>KLA-D017-GRY-S</x:v>
      </x:c>
      <x:c r="Q79" s="112" t="str">
        <x:f>IF(COUNTIF($A$9:$A$303,A79)&gt;1,"DUPLICATE","OK")</x:f>
        <x:v>OK</x:v>
      </x:c>
    </x:row>
    <x:row r="80" ht="24" customHeight="1">
      <x:c r="A80" s="144" t="str">
        <x:f>IF(B80&lt;&gt;"",B80,"KLA-"&amp;C80&amp;"-"&amp;G80&amp;"-"&amp;H80)</x:f>
        <x:v>KLA-D017-GRY-XL</x:v>
      </x:c>
      <x:c r="B80" s="145" t="str"/>
      <x:c r="C80" s="146" t="str">
        <x:v>D017</x:v>
      </x:c>
      <x:c r="D80" s="112" t="str">
        <x:v>Elia Fringe Dress</x:v>
      </x:c>
      <x:c r="E80" s="112" t="str">
        <x:v>Dress</x:v>
      </x:c>
      <x:c r="F80" s="112" t="str">
        <x:v>Grey</x:v>
      </x:c>
      <x:c r="G80" s="146" t="str">
        <x:v>GRY</x:v>
      </x:c>
      <x:c r="H80" s="146" t="str">
        <x:v>XL</x:v>
      </x:c>
      <x:c r="I80" s="147" t="n">
        <x:v>109</x:v>
      </x:c>
      <x:c r="J80" s="112" t="str">
        <x:v>International Warehouse</x:v>
      </x:c>
      <x:c r="K80" s="148" t="str"/>
      <x:c r="L80" s="148" t="str"/>
      <x:c r="M80" s="112" t="str">
        <x:v>Published</x:v>
      </x:c>
      <x:c r="N80" s="113" t="str">
        <x:v>https://www.klarelle.store/product/c104abbe-87a2-4e0a-9be3-4fe13f06cfdf</x:v>
      </x:c>
      <x:c r="O80" s="113" t="str">
        <x:v>Supplier-held inventory; no NJ bin unless transferred</x:v>
      </x:c>
      <x:c r="P80" s="112" t="str">
        <x:f>A80</x:f>
        <x:v>KLA-D017-GRY-XL</x:v>
      </x:c>
      <x:c r="Q80" s="112" t="str">
        <x:f>IF(COUNTIF($A$9:$A$303,A80)&gt;1,"DUPLICATE","OK")</x:f>
        <x:v>OK</x:v>
      </x:c>
    </x:row>
    <x:row r="81" ht="24" customHeight="1">
      <x:c r="A81" s="144" t="str">
        <x:f>IF(B81&lt;&gt;"",B81,"KLA-"&amp;C81&amp;"-"&amp;G81&amp;"-"&amp;H81)</x:f>
        <x:v>KLA-D017-PNK-L</x:v>
      </x:c>
      <x:c r="B81" s="145" t="str"/>
      <x:c r="C81" s="146" t="str">
        <x:v>D017</x:v>
      </x:c>
      <x:c r="D81" s="112" t="str">
        <x:v>Elia Fringe Dress</x:v>
      </x:c>
      <x:c r="E81" s="112" t="str">
        <x:v>Dress</x:v>
      </x:c>
      <x:c r="F81" s="112" t="str">
        <x:v>Pink</x:v>
      </x:c>
      <x:c r="G81" s="146" t="str">
        <x:v>PNK</x:v>
      </x:c>
      <x:c r="H81" s="146" t="str">
        <x:v>L</x:v>
      </x:c>
      <x:c r="I81" s="147" t="n">
        <x:v>109</x:v>
      </x:c>
      <x:c r="J81" s="112" t="str">
        <x:v>International Warehouse</x:v>
      </x:c>
      <x:c r="K81" s="148" t="str"/>
      <x:c r="L81" s="148" t="str"/>
      <x:c r="M81" s="112" t="str">
        <x:v>Published</x:v>
      </x:c>
      <x:c r="N81" s="113" t="str">
        <x:v>https://www.klarelle.store/product/c104abbe-87a2-4e0a-9be3-4fe13f06cfdf</x:v>
      </x:c>
      <x:c r="O81" s="113" t="str">
        <x:v>Supplier-held inventory; no NJ bin unless transferred</x:v>
      </x:c>
      <x:c r="P81" s="112" t="str">
        <x:f>A81</x:f>
        <x:v>KLA-D017-PNK-L</x:v>
      </x:c>
      <x:c r="Q81" s="112" t="str">
        <x:f>IF(COUNTIF($A$9:$A$303,A81)&gt;1,"DUPLICATE","OK")</x:f>
        <x:v>OK</x:v>
      </x:c>
    </x:row>
    <x:row r="82" ht="24" customHeight="1">
      <x:c r="A82" s="144" t="str">
        <x:f>IF(B82&lt;&gt;"",B82,"KLA-"&amp;C82&amp;"-"&amp;G82&amp;"-"&amp;H82)</x:f>
        <x:v>KLA-D017-PNK-M</x:v>
      </x:c>
      <x:c r="B82" s="145" t="str"/>
      <x:c r="C82" s="146" t="str">
        <x:v>D017</x:v>
      </x:c>
      <x:c r="D82" s="112" t="str">
        <x:v>Elia Fringe Dress</x:v>
      </x:c>
      <x:c r="E82" s="112" t="str">
        <x:v>Dress</x:v>
      </x:c>
      <x:c r="F82" s="112" t="str">
        <x:v>Pink</x:v>
      </x:c>
      <x:c r="G82" s="146" t="str">
        <x:v>PNK</x:v>
      </x:c>
      <x:c r="H82" s="146" t="str">
        <x:v>M</x:v>
      </x:c>
      <x:c r="I82" s="147" t="n">
        <x:v>109</x:v>
      </x:c>
      <x:c r="J82" s="112" t="str">
        <x:v>International Warehouse</x:v>
      </x:c>
      <x:c r="K82" s="148" t="str"/>
      <x:c r="L82" s="148" t="str"/>
      <x:c r="M82" s="112" t="str">
        <x:v>Published</x:v>
      </x:c>
      <x:c r="N82" s="113" t="str">
        <x:v>https://www.klarelle.store/product/c104abbe-87a2-4e0a-9be3-4fe13f06cfdf</x:v>
      </x:c>
      <x:c r="O82" s="113" t="str">
        <x:v>Supplier-held inventory; no NJ bin unless transferred</x:v>
      </x:c>
      <x:c r="P82" s="112" t="str">
        <x:f>A82</x:f>
        <x:v>KLA-D017-PNK-M</x:v>
      </x:c>
      <x:c r="Q82" s="112" t="str">
        <x:f>IF(COUNTIF($A$9:$A$303,A82)&gt;1,"DUPLICATE","OK")</x:f>
        <x:v>OK</x:v>
      </x:c>
    </x:row>
    <x:row r="83" ht="24" customHeight="1">
      <x:c r="A83" s="144" t="str">
        <x:f>IF(B83&lt;&gt;"",B83,"KLA-"&amp;C83&amp;"-"&amp;G83&amp;"-"&amp;H83)</x:f>
        <x:v>KLA-D017-PNK-S</x:v>
      </x:c>
      <x:c r="B83" s="145" t="str"/>
      <x:c r="C83" s="146" t="str">
        <x:v>D017</x:v>
      </x:c>
      <x:c r="D83" s="112" t="str">
        <x:v>Elia Fringe Dress</x:v>
      </x:c>
      <x:c r="E83" s="112" t="str">
        <x:v>Dress</x:v>
      </x:c>
      <x:c r="F83" s="112" t="str">
        <x:v>Pink</x:v>
      </x:c>
      <x:c r="G83" s="146" t="str">
        <x:v>PNK</x:v>
      </x:c>
      <x:c r="H83" s="146" t="str">
        <x:v>S</x:v>
      </x:c>
      <x:c r="I83" s="147" t="n">
        <x:v>109</x:v>
      </x:c>
      <x:c r="J83" s="112" t="str">
        <x:v>International Warehouse</x:v>
      </x:c>
      <x:c r="K83" s="148" t="str"/>
      <x:c r="L83" s="148" t="str"/>
      <x:c r="M83" s="112" t="str">
        <x:v>Published</x:v>
      </x:c>
      <x:c r="N83" s="113" t="str">
        <x:v>https://www.klarelle.store/product/c104abbe-87a2-4e0a-9be3-4fe13f06cfdf</x:v>
      </x:c>
      <x:c r="O83" s="113" t="str">
        <x:v>Supplier-held inventory; no NJ bin unless transferred</x:v>
      </x:c>
      <x:c r="P83" s="112" t="str">
        <x:f>A83</x:f>
        <x:v>KLA-D017-PNK-S</x:v>
      </x:c>
      <x:c r="Q83" s="112" t="str">
        <x:f>IF(COUNTIF($A$9:$A$303,A83)&gt;1,"DUPLICATE","OK")</x:f>
        <x:v>OK</x:v>
      </x:c>
    </x:row>
    <x:row r="84" ht="24" customHeight="1">
      <x:c r="A84" s="144" t="str">
        <x:f>IF(B84&lt;&gt;"",B84,"KLA-"&amp;C84&amp;"-"&amp;G84&amp;"-"&amp;H84)</x:f>
        <x:v>KLA-D017-PNK-XL</x:v>
      </x:c>
      <x:c r="B84" s="145" t="str"/>
      <x:c r="C84" s="146" t="str">
        <x:v>D017</x:v>
      </x:c>
      <x:c r="D84" s="112" t="str">
        <x:v>Elia Fringe Dress</x:v>
      </x:c>
      <x:c r="E84" s="112" t="str">
        <x:v>Dress</x:v>
      </x:c>
      <x:c r="F84" s="112" t="str">
        <x:v>Pink</x:v>
      </x:c>
      <x:c r="G84" s="146" t="str">
        <x:v>PNK</x:v>
      </x:c>
      <x:c r="H84" s="146" t="str">
        <x:v>XL</x:v>
      </x:c>
      <x:c r="I84" s="147" t="n">
        <x:v>109</x:v>
      </x:c>
      <x:c r="J84" s="112" t="str">
        <x:v>International Warehouse</x:v>
      </x:c>
      <x:c r="K84" s="148" t="str"/>
      <x:c r="L84" s="148" t="str"/>
      <x:c r="M84" s="112" t="str">
        <x:v>Published</x:v>
      </x:c>
      <x:c r="N84" s="113" t="str">
        <x:v>https://www.klarelle.store/product/c104abbe-87a2-4e0a-9be3-4fe13f06cfdf</x:v>
      </x:c>
      <x:c r="O84" s="113" t="str">
        <x:v>Supplier-held inventory; no NJ bin unless transferred</x:v>
      </x:c>
      <x:c r="P84" s="112" t="str">
        <x:f>A84</x:f>
        <x:v>KLA-D017-PNK-XL</x:v>
      </x:c>
      <x:c r="Q84" s="112" t="str">
        <x:f>IF(COUNTIF($A$9:$A$303,A84)&gt;1,"DUPLICATE","OK")</x:f>
        <x:v>OK</x:v>
      </x:c>
    </x:row>
    <x:row r="85" ht="24" customHeight="1">
      <x:c r="A85" s="144" t="str">
        <x:f>IF(B85&lt;&gt;"",B85,"KLA-"&amp;C85&amp;"-"&amp;G85&amp;"-"&amp;H85)</x:f>
        <x:v>KLA-D018-BLU-L</x:v>
      </x:c>
      <x:c r="B85" s="145" t="str"/>
      <x:c r="C85" s="146" t="str">
        <x:v>D018</x:v>
      </x:c>
      <x:c r="D85" s="112" t="str">
        <x:v>Valenne Fringe Gown</x:v>
      </x:c>
      <x:c r="E85" s="112" t="str">
        <x:v>Dress</x:v>
      </x:c>
      <x:c r="F85" s="112" t="str">
        <x:v>Blue</x:v>
      </x:c>
      <x:c r="G85" s="146" t="str">
        <x:v>BLU</x:v>
      </x:c>
      <x:c r="H85" s="146" t="str">
        <x:v>L</x:v>
      </x:c>
      <x:c r="I85" s="147" t="n">
        <x:v>112</x:v>
      </x:c>
      <x:c r="J85" s="112" t="str">
        <x:v>International Warehouse</x:v>
      </x:c>
      <x:c r="K85" s="148" t="str"/>
      <x:c r="L85" s="148" t="str"/>
      <x:c r="M85" s="112" t="str">
        <x:v>Published</x:v>
      </x:c>
      <x:c r="N85" s="113" t="str">
        <x:v>https://www.klarelle.store/product/9d845795-105a-4e71-a2fe-521fb5f82581</x:v>
      </x:c>
      <x:c r="O85" s="113" t="str">
        <x:v>Supplier-held inventory; no NJ bin unless transferred</x:v>
      </x:c>
      <x:c r="P85" s="112" t="str">
        <x:f>A85</x:f>
        <x:v>KLA-D018-BLU-L</x:v>
      </x:c>
      <x:c r="Q85" s="112" t="str">
        <x:f>IF(COUNTIF($A$9:$A$303,A85)&gt;1,"DUPLICATE","OK")</x:f>
        <x:v>OK</x:v>
      </x:c>
    </x:row>
    <x:row r="86" ht="24" customHeight="1">
      <x:c r="A86" s="144" t="str">
        <x:f>IF(B86&lt;&gt;"",B86,"KLA-"&amp;C86&amp;"-"&amp;G86&amp;"-"&amp;H86)</x:f>
        <x:v>KLA-D018-BLU-M</x:v>
      </x:c>
      <x:c r="B86" s="145" t="str"/>
      <x:c r="C86" s="146" t="str">
        <x:v>D018</x:v>
      </x:c>
      <x:c r="D86" s="112" t="str">
        <x:v>Valenne Fringe Gown</x:v>
      </x:c>
      <x:c r="E86" s="112" t="str">
        <x:v>Dress</x:v>
      </x:c>
      <x:c r="F86" s="112" t="str">
        <x:v>Blue</x:v>
      </x:c>
      <x:c r="G86" s="146" t="str">
        <x:v>BLU</x:v>
      </x:c>
      <x:c r="H86" s="146" t="str">
        <x:v>M</x:v>
      </x:c>
      <x:c r="I86" s="147" t="n">
        <x:v>112</x:v>
      </x:c>
      <x:c r="J86" s="112" t="str">
        <x:v>International Warehouse</x:v>
      </x:c>
      <x:c r="K86" s="148" t="str"/>
      <x:c r="L86" s="148" t="str"/>
      <x:c r="M86" s="112" t="str">
        <x:v>Published</x:v>
      </x:c>
      <x:c r="N86" s="113" t="str">
        <x:v>https://www.klarelle.store/product/9d845795-105a-4e71-a2fe-521fb5f82581</x:v>
      </x:c>
      <x:c r="O86" s="113" t="str">
        <x:v>Supplier-held inventory; no NJ bin unless transferred</x:v>
      </x:c>
      <x:c r="P86" s="112" t="str">
        <x:f>A86</x:f>
        <x:v>KLA-D018-BLU-M</x:v>
      </x:c>
      <x:c r="Q86" s="112" t="str">
        <x:f>IF(COUNTIF($A$9:$A$303,A86)&gt;1,"DUPLICATE","OK")</x:f>
        <x:v>OK</x:v>
      </x:c>
    </x:row>
    <x:row r="87" ht="24" customHeight="1">
      <x:c r="A87" s="144" t="str">
        <x:f>IF(B87&lt;&gt;"",B87,"KLA-"&amp;C87&amp;"-"&amp;G87&amp;"-"&amp;H87)</x:f>
        <x:v>KLA-D018-BLU-S</x:v>
      </x:c>
      <x:c r="B87" s="145" t="str"/>
      <x:c r="C87" s="146" t="str">
        <x:v>D018</x:v>
      </x:c>
      <x:c r="D87" s="112" t="str">
        <x:v>Valenne Fringe Gown</x:v>
      </x:c>
      <x:c r="E87" s="112" t="str">
        <x:v>Dress</x:v>
      </x:c>
      <x:c r="F87" s="112" t="str">
        <x:v>Blue</x:v>
      </x:c>
      <x:c r="G87" s="146" t="str">
        <x:v>BLU</x:v>
      </x:c>
      <x:c r="H87" s="146" t="str">
        <x:v>S</x:v>
      </x:c>
      <x:c r="I87" s="147" t="n">
        <x:v>112</x:v>
      </x:c>
      <x:c r="J87" s="112" t="str">
        <x:v>International Warehouse</x:v>
      </x:c>
      <x:c r="K87" s="148" t="str"/>
      <x:c r="L87" s="148" t="str"/>
      <x:c r="M87" s="112" t="str">
        <x:v>Published</x:v>
      </x:c>
      <x:c r="N87" s="113" t="str">
        <x:v>https://www.klarelle.store/product/9d845795-105a-4e71-a2fe-521fb5f82581</x:v>
      </x:c>
      <x:c r="O87" s="113" t="str">
        <x:v>Supplier-held inventory; no NJ bin unless transferred</x:v>
      </x:c>
      <x:c r="P87" s="112" t="str">
        <x:f>A87</x:f>
        <x:v>KLA-D018-BLU-S</x:v>
      </x:c>
      <x:c r="Q87" s="112" t="str">
        <x:f>IF(COUNTIF($A$9:$A$303,A87)&gt;1,"DUPLICATE","OK")</x:f>
        <x:v>OK</x:v>
      </x:c>
    </x:row>
    <x:row r="88" ht="24" customHeight="1">
      <x:c r="A88" s="144" t="str">
        <x:f>IF(B88&lt;&gt;"",B88,"KLA-"&amp;C88&amp;"-"&amp;G88&amp;"-"&amp;H88)</x:f>
        <x:v>KLA-D018-BLU-XL</x:v>
      </x:c>
      <x:c r="B88" s="145" t="str"/>
      <x:c r="C88" s="146" t="str">
        <x:v>D018</x:v>
      </x:c>
      <x:c r="D88" s="112" t="str">
        <x:v>Valenne Fringe Gown</x:v>
      </x:c>
      <x:c r="E88" s="112" t="str">
        <x:v>Dress</x:v>
      </x:c>
      <x:c r="F88" s="112" t="str">
        <x:v>Blue</x:v>
      </x:c>
      <x:c r="G88" s="146" t="str">
        <x:v>BLU</x:v>
      </x:c>
      <x:c r="H88" s="146" t="str">
        <x:v>XL</x:v>
      </x:c>
      <x:c r="I88" s="147" t="n">
        <x:v>112</x:v>
      </x:c>
      <x:c r="J88" s="112" t="str">
        <x:v>International Warehouse</x:v>
      </x:c>
      <x:c r="K88" s="148" t="str"/>
      <x:c r="L88" s="148" t="str"/>
      <x:c r="M88" s="112" t="str">
        <x:v>Published</x:v>
      </x:c>
      <x:c r="N88" s="113" t="str">
        <x:v>https://www.klarelle.store/product/9d845795-105a-4e71-a2fe-521fb5f82581</x:v>
      </x:c>
      <x:c r="O88" s="113" t="str">
        <x:v>Supplier-held inventory; no NJ bin unless transferred</x:v>
      </x:c>
      <x:c r="P88" s="112" t="str">
        <x:f>A88</x:f>
        <x:v>KLA-D018-BLU-XL</x:v>
      </x:c>
      <x:c r="Q88" s="112" t="str">
        <x:f>IF(COUNTIF($A$9:$A$303,A88)&gt;1,"DUPLICATE","OK")</x:f>
        <x:v>OK</x:v>
      </x:c>
    </x:row>
    <x:row r="89" ht="24" customHeight="1">
      <x:c r="A89" s="144" t="str">
        <x:f>IF(B89&lt;&gt;"",B89,"KLA-"&amp;C89&amp;"-"&amp;G89&amp;"-"&amp;H89)</x:f>
        <x:v>KLA-D019-GLD-L</x:v>
      </x:c>
      <x:c r="B89" s="145" t="str"/>
      <x:c r="C89" s="146" t="str">
        <x:v>D019</x:v>
      </x:c>
      <x:c r="D89" s="112" t="str">
        <x:v>Lana Fringe Dress</x:v>
      </x:c>
      <x:c r="E89" s="112" t="str">
        <x:v>Dress</x:v>
      </x:c>
      <x:c r="F89" s="112" t="str">
        <x:v>Gold</x:v>
      </x:c>
      <x:c r="G89" s="146" t="str">
        <x:v>GLD</x:v>
      </x:c>
      <x:c r="H89" s="146" t="str">
        <x:v>L</x:v>
      </x:c>
      <x:c r="I89" s="147" t="n">
        <x:v>112</x:v>
      </x:c>
      <x:c r="J89" s="112" t="str">
        <x:v>International Warehouse</x:v>
      </x:c>
      <x:c r="K89" s="148" t="str"/>
      <x:c r="L89" s="148" t="str"/>
      <x:c r="M89" s="112" t="str">
        <x:v>Published</x:v>
      </x:c>
      <x:c r="N89" s="113" t="str">
        <x:v>https://www.klarelle.store/product/8e08676c-84b6-4d62-bfa8-b7806555aff8</x:v>
      </x:c>
      <x:c r="O89" s="113" t="str">
        <x:v>Supplier-held inventory; no NJ bin unless transferred</x:v>
      </x:c>
      <x:c r="P89" s="112" t="str">
        <x:f>A89</x:f>
        <x:v>KLA-D019-GLD-L</x:v>
      </x:c>
      <x:c r="Q89" s="112" t="str">
        <x:f>IF(COUNTIF($A$9:$A$303,A89)&gt;1,"DUPLICATE","OK")</x:f>
        <x:v>OK</x:v>
      </x:c>
    </x:row>
    <x:row r="90" ht="24" customHeight="1">
      <x:c r="A90" s="144" t="str">
        <x:f>IF(B90&lt;&gt;"",B90,"KLA-"&amp;C90&amp;"-"&amp;G90&amp;"-"&amp;H90)</x:f>
        <x:v>KLA-D019-GLD-M</x:v>
      </x:c>
      <x:c r="B90" s="145" t="str"/>
      <x:c r="C90" s="146" t="str">
        <x:v>D019</x:v>
      </x:c>
      <x:c r="D90" s="112" t="str">
        <x:v>Lana Fringe Dress</x:v>
      </x:c>
      <x:c r="E90" s="112" t="str">
        <x:v>Dress</x:v>
      </x:c>
      <x:c r="F90" s="112" t="str">
        <x:v>Gold</x:v>
      </x:c>
      <x:c r="G90" s="146" t="str">
        <x:v>GLD</x:v>
      </x:c>
      <x:c r="H90" s="146" t="str">
        <x:v>M</x:v>
      </x:c>
      <x:c r="I90" s="147" t="n">
        <x:v>112</x:v>
      </x:c>
      <x:c r="J90" s="112" t="str">
        <x:v>International Warehouse</x:v>
      </x:c>
      <x:c r="K90" s="148" t="str"/>
      <x:c r="L90" s="148" t="str"/>
      <x:c r="M90" s="112" t="str">
        <x:v>Published</x:v>
      </x:c>
      <x:c r="N90" s="113" t="str">
        <x:v>https://www.klarelle.store/product/8e08676c-84b6-4d62-bfa8-b7806555aff8</x:v>
      </x:c>
      <x:c r="O90" s="113" t="str">
        <x:v>Supplier-held inventory; no NJ bin unless transferred</x:v>
      </x:c>
      <x:c r="P90" s="112" t="str">
        <x:f>A90</x:f>
        <x:v>KLA-D019-GLD-M</x:v>
      </x:c>
      <x:c r="Q90" s="112" t="str">
        <x:f>IF(COUNTIF($A$9:$A$303,A90)&gt;1,"DUPLICATE","OK")</x:f>
        <x:v>OK</x:v>
      </x:c>
    </x:row>
    <x:row r="91" ht="24" customHeight="1">
      <x:c r="A91" s="144" t="str">
        <x:f>IF(B91&lt;&gt;"",B91,"KLA-"&amp;C91&amp;"-"&amp;G91&amp;"-"&amp;H91)</x:f>
        <x:v>KLA-D019-GLD-S</x:v>
      </x:c>
      <x:c r="B91" s="145" t="str"/>
      <x:c r="C91" s="146" t="str">
        <x:v>D019</x:v>
      </x:c>
      <x:c r="D91" s="112" t="str">
        <x:v>Lana Fringe Dress</x:v>
      </x:c>
      <x:c r="E91" s="112" t="str">
        <x:v>Dress</x:v>
      </x:c>
      <x:c r="F91" s="112" t="str">
        <x:v>Gold</x:v>
      </x:c>
      <x:c r="G91" s="146" t="str">
        <x:v>GLD</x:v>
      </x:c>
      <x:c r="H91" s="146" t="str">
        <x:v>S</x:v>
      </x:c>
      <x:c r="I91" s="147" t="n">
        <x:v>112</x:v>
      </x:c>
      <x:c r="J91" s="112" t="str">
        <x:v>International Warehouse</x:v>
      </x:c>
      <x:c r="K91" s="148" t="str"/>
      <x:c r="L91" s="148" t="str"/>
      <x:c r="M91" s="112" t="str">
        <x:v>Published</x:v>
      </x:c>
      <x:c r="N91" s="113" t="str">
        <x:v>https://www.klarelle.store/product/8e08676c-84b6-4d62-bfa8-b7806555aff8</x:v>
      </x:c>
      <x:c r="O91" s="113" t="str">
        <x:v>Supplier-held inventory; no NJ bin unless transferred</x:v>
      </x:c>
      <x:c r="P91" s="112" t="str">
        <x:f>A91</x:f>
        <x:v>KLA-D019-GLD-S</x:v>
      </x:c>
      <x:c r="Q91" s="112" t="str">
        <x:f>IF(COUNTIF($A$9:$A$303,A91)&gt;1,"DUPLICATE","OK")</x:f>
        <x:v>OK</x:v>
      </x:c>
    </x:row>
    <x:row r="92" ht="24" customHeight="1">
      <x:c r="A92" s="144" t="str">
        <x:f>IF(B92&lt;&gt;"",B92,"KLA-"&amp;C92&amp;"-"&amp;G92&amp;"-"&amp;H92)</x:f>
        <x:v>KLA-D019-GLD-XL</x:v>
      </x:c>
      <x:c r="B92" s="145" t="str"/>
      <x:c r="C92" s="146" t="str">
        <x:v>D019</x:v>
      </x:c>
      <x:c r="D92" s="112" t="str">
        <x:v>Lana Fringe Dress</x:v>
      </x:c>
      <x:c r="E92" s="112" t="str">
        <x:v>Dress</x:v>
      </x:c>
      <x:c r="F92" s="112" t="str">
        <x:v>Gold</x:v>
      </x:c>
      <x:c r="G92" s="146" t="str">
        <x:v>GLD</x:v>
      </x:c>
      <x:c r="H92" s="146" t="str">
        <x:v>XL</x:v>
      </x:c>
      <x:c r="I92" s="147" t="n">
        <x:v>112</x:v>
      </x:c>
      <x:c r="J92" s="112" t="str">
        <x:v>International Warehouse</x:v>
      </x:c>
      <x:c r="K92" s="148" t="str"/>
      <x:c r="L92" s="148" t="str"/>
      <x:c r="M92" s="112" t="str">
        <x:v>Published</x:v>
      </x:c>
      <x:c r="N92" s="113" t="str">
        <x:v>https://www.klarelle.store/product/8e08676c-84b6-4d62-bfa8-b7806555aff8</x:v>
      </x:c>
      <x:c r="O92" s="113" t="str">
        <x:v>Supplier-held inventory; no NJ bin unless transferred</x:v>
      </x:c>
      <x:c r="P92" s="112" t="str">
        <x:f>A92</x:f>
        <x:v>KLA-D019-GLD-XL</x:v>
      </x:c>
      <x:c r="Q92" s="112" t="str">
        <x:f>IF(COUNTIF($A$9:$A$303,A92)&gt;1,"DUPLICATE","OK")</x:f>
        <x:v>OK</x:v>
      </x:c>
    </x:row>
    <x:row r="93" ht="24" customHeight="1">
      <x:c r="A93" s="144" t="str">
        <x:f>IF(B93&lt;&gt;"",B93,"KLA-"&amp;C93&amp;"-"&amp;G93&amp;"-"&amp;H93)</x:f>
        <x:v>KLA-D019-PNK-L</x:v>
      </x:c>
      <x:c r="B93" s="145" t="str"/>
      <x:c r="C93" s="146" t="str">
        <x:v>D019</x:v>
      </x:c>
      <x:c r="D93" s="112" t="str">
        <x:v>Lana Fringe Dress</x:v>
      </x:c>
      <x:c r="E93" s="112" t="str">
        <x:v>Dress</x:v>
      </x:c>
      <x:c r="F93" s="112" t="str">
        <x:v>Pink</x:v>
      </x:c>
      <x:c r="G93" s="146" t="str">
        <x:v>PNK</x:v>
      </x:c>
      <x:c r="H93" s="146" t="str">
        <x:v>L</x:v>
      </x:c>
      <x:c r="I93" s="147" t="n">
        <x:v>112</x:v>
      </x:c>
      <x:c r="J93" s="112" t="str">
        <x:v>International Warehouse</x:v>
      </x:c>
      <x:c r="K93" s="148" t="str"/>
      <x:c r="L93" s="148" t="str"/>
      <x:c r="M93" s="112" t="str">
        <x:v>Published</x:v>
      </x:c>
      <x:c r="N93" s="113" t="str">
        <x:v>https://www.klarelle.store/product/8e08676c-84b6-4d62-bfa8-b7806555aff8</x:v>
      </x:c>
      <x:c r="O93" s="113" t="str">
        <x:v>Supplier-held inventory; no NJ bin unless transferred</x:v>
      </x:c>
      <x:c r="P93" s="112" t="str">
        <x:f>A93</x:f>
        <x:v>KLA-D019-PNK-L</x:v>
      </x:c>
      <x:c r="Q93" s="112" t="str">
        <x:f>IF(COUNTIF($A$9:$A$303,A93)&gt;1,"DUPLICATE","OK")</x:f>
        <x:v>OK</x:v>
      </x:c>
    </x:row>
    <x:row r="94" ht="24" customHeight="1">
      <x:c r="A94" s="144" t="str">
        <x:f>IF(B94&lt;&gt;"",B94,"KLA-"&amp;C94&amp;"-"&amp;G94&amp;"-"&amp;H94)</x:f>
        <x:v>KLA-D019-PNK-M</x:v>
      </x:c>
      <x:c r="B94" s="145" t="str"/>
      <x:c r="C94" s="146" t="str">
        <x:v>D019</x:v>
      </x:c>
      <x:c r="D94" s="112" t="str">
        <x:v>Lana Fringe Dress</x:v>
      </x:c>
      <x:c r="E94" s="112" t="str">
        <x:v>Dress</x:v>
      </x:c>
      <x:c r="F94" s="112" t="str">
        <x:v>Pink</x:v>
      </x:c>
      <x:c r="G94" s="146" t="str">
        <x:v>PNK</x:v>
      </x:c>
      <x:c r="H94" s="146" t="str">
        <x:v>M</x:v>
      </x:c>
      <x:c r="I94" s="147" t="n">
        <x:v>112</x:v>
      </x:c>
      <x:c r="J94" s="112" t="str">
        <x:v>International Warehouse</x:v>
      </x:c>
      <x:c r="K94" s="148" t="str"/>
      <x:c r="L94" s="148" t="str"/>
      <x:c r="M94" s="112" t="str">
        <x:v>Published</x:v>
      </x:c>
      <x:c r="N94" s="113" t="str">
        <x:v>https://www.klarelle.store/product/8e08676c-84b6-4d62-bfa8-b7806555aff8</x:v>
      </x:c>
      <x:c r="O94" s="113" t="str">
        <x:v>Supplier-held inventory; no NJ bin unless transferred</x:v>
      </x:c>
      <x:c r="P94" s="112" t="str">
        <x:f>A94</x:f>
        <x:v>KLA-D019-PNK-M</x:v>
      </x:c>
      <x:c r="Q94" s="112" t="str">
        <x:f>IF(COUNTIF($A$9:$A$303,A94)&gt;1,"DUPLICATE","OK")</x:f>
        <x:v>OK</x:v>
      </x:c>
    </x:row>
    <x:row r="95" ht="24" customHeight="1">
      <x:c r="A95" s="144" t="str">
        <x:f>IF(B95&lt;&gt;"",B95,"KLA-"&amp;C95&amp;"-"&amp;G95&amp;"-"&amp;H95)</x:f>
        <x:v>KLA-D019-PNK-S</x:v>
      </x:c>
      <x:c r="B95" s="145" t="str"/>
      <x:c r="C95" s="146" t="str">
        <x:v>D019</x:v>
      </x:c>
      <x:c r="D95" s="112" t="str">
        <x:v>Lana Fringe Dress</x:v>
      </x:c>
      <x:c r="E95" s="112" t="str">
        <x:v>Dress</x:v>
      </x:c>
      <x:c r="F95" s="112" t="str">
        <x:v>Pink</x:v>
      </x:c>
      <x:c r="G95" s="146" t="str">
        <x:v>PNK</x:v>
      </x:c>
      <x:c r="H95" s="146" t="str">
        <x:v>S</x:v>
      </x:c>
      <x:c r="I95" s="147" t="n">
        <x:v>112</x:v>
      </x:c>
      <x:c r="J95" s="112" t="str">
        <x:v>International Warehouse</x:v>
      </x:c>
      <x:c r="K95" s="148" t="str"/>
      <x:c r="L95" s="148" t="str"/>
      <x:c r="M95" s="112" t="str">
        <x:v>Published</x:v>
      </x:c>
      <x:c r="N95" s="113" t="str">
        <x:v>https://www.klarelle.store/product/8e08676c-84b6-4d62-bfa8-b7806555aff8</x:v>
      </x:c>
      <x:c r="O95" s="113" t="str">
        <x:v>Supplier-held inventory; no NJ bin unless transferred</x:v>
      </x:c>
      <x:c r="P95" s="112" t="str">
        <x:f>A95</x:f>
        <x:v>KLA-D019-PNK-S</x:v>
      </x:c>
      <x:c r="Q95" s="112" t="str">
        <x:f>IF(COUNTIF($A$9:$A$303,A95)&gt;1,"DUPLICATE","OK")</x:f>
        <x:v>OK</x:v>
      </x:c>
    </x:row>
    <x:row r="96" ht="24" customHeight="1">
      <x:c r="A96" s="144" t="str">
        <x:f>IF(B96&lt;&gt;"",B96,"KLA-"&amp;C96&amp;"-"&amp;G96&amp;"-"&amp;H96)</x:f>
        <x:v>KLA-D019-PNK-XL</x:v>
      </x:c>
      <x:c r="B96" s="145" t="str"/>
      <x:c r="C96" s="146" t="str">
        <x:v>D019</x:v>
      </x:c>
      <x:c r="D96" s="112" t="str">
        <x:v>Lana Fringe Dress</x:v>
      </x:c>
      <x:c r="E96" s="112" t="str">
        <x:v>Dress</x:v>
      </x:c>
      <x:c r="F96" s="112" t="str">
        <x:v>Pink</x:v>
      </x:c>
      <x:c r="G96" s="146" t="str">
        <x:v>PNK</x:v>
      </x:c>
      <x:c r="H96" s="146" t="str">
        <x:v>XL</x:v>
      </x:c>
      <x:c r="I96" s="147" t="n">
        <x:v>112</x:v>
      </x:c>
      <x:c r="J96" s="112" t="str">
        <x:v>International Warehouse</x:v>
      </x:c>
      <x:c r="K96" s="148" t="str"/>
      <x:c r="L96" s="148" t="str"/>
      <x:c r="M96" s="112" t="str">
        <x:v>Published</x:v>
      </x:c>
      <x:c r="N96" s="113" t="str">
        <x:v>https://www.klarelle.store/product/8e08676c-84b6-4d62-bfa8-b7806555aff8</x:v>
      </x:c>
      <x:c r="O96" s="113" t="str">
        <x:v>Supplier-held inventory; no NJ bin unless transferred</x:v>
      </x:c>
      <x:c r="P96" s="112" t="str">
        <x:f>A96</x:f>
        <x:v>KLA-D019-PNK-XL</x:v>
      </x:c>
      <x:c r="Q96" s="112" t="str">
        <x:f>IF(COUNTIF($A$9:$A$303,A96)&gt;1,"DUPLICATE","OK")</x:f>
        <x:v>OK</x:v>
      </x:c>
    </x:row>
    <x:row r="97" ht="24" customHeight="1">
      <x:c r="A97" s="144" t="str">
        <x:f>IF(B97&lt;&gt;"",B97,"KLA-"&amp;C97&amp;"-"&amp;G97&amp;"-"&amp;H97)</x:f>
        <x:v>KLA-D020-BLK-L</x:v>
      </x:c>
      <x:c r="B97" s="145" t="str"/>
      <x:c r="C97" s="146" t="str">
        <x:v>D020</x:v>
      </x:c>
      <x:c r="D97" s="112" t="str">
        <x:v>Malia Crystal Halter Gown</x:v>
      </x:c>
      <x:c r="E97" s="112" t="str">
        <x:v>Dress</x:v>
      </x:c>
      <x:c r="F97" s="112" t="str">
        <x:v>Black</x:v>
      </x:c>
      <x:c r="G97" s="146" t="str">
        <x:v>BLK</x:v>
      </x:c>
      <x:c r="H97" s="146" t="str">
        <x:v>L</x:v>
      </x:c>
      <x:c r="I97" s="147" t="n">
        <x:v>109</x:v>
      </x:c>
      <x:c r="J97" s="112" t="str">
        <x:v>International Warehouse</x:v>
      </x:c>
      <x:c r="K97" s="148" t="str"/>
      <x:c r="L97" s="148" t="str"/>
      <x:c r="M97" s="112" t="str">
        <x:v>Published</x:v>
      </x:c>
      <x:c r="N97" s="113" t="str">
        <x:v>https://www.klarelle.store/product/1d3d06ac-1afd-4cec-9b81-8c044cba7e4e</x:v>
      </x:c>
      <x:c r="O97" s="113" t="str">
        <x:v>Supplier-held inventory; no NJ bin unless transferred</x:v>
      </x:c>
      <x:c r="P97" s="112" t="str">
        <x:f>A97</x:f>
        <x:v>KLA-D020-BLK-L</x:v>
      </x:c>
      <x:c r="Q97" s="112" t="str">
        <x:f>IF(COUNTIF($A$9:$A$303,A97)&gt;1,"DUPLICATE","OK")</x:f>
        <x:v>OK</x:v>
      </x:c>
    </x:row>
    <x:row r="98" ht="24" customHeight="1">
      <x:c r="A98" s="144" t="str">
        <x:f>IF(B98&lt;&gt;"",B98,"KLA-"&amp;C98&amp;"-"&amp;G98&amp;"-"&amp;H98)</x:f>
        <x:v>KLA-D020-BLK-M</x:v>
      </x:c>
      <x:c r="B98" s="145" t="str"/>
      <x:c r="C98" s="146" t="str">
        <x:v>D020</x:v>
      </x:c>
      <x:c r="D98" s="112" t="str">
        <x:v>Malia Crystal Halter Gown</x:v>
      </x:c>
      <x:c r="E98" s="112" t="str">
        <x:v>Dress</x:v>
      </x:c>
      <x:c r="F98" s="112" t="str">
        <x:v>Black</x:v>
      </x:c>
      <x:c r="G98" s="146" t="str">
        <x:v>BLK</x:v>
      </x:c>
      <x:c r="H98" s="146" t="str">
        <x:v>M</x:v>
      </x:c>
      <x:c r="I98" s="147" t="n">
        <x:v>109</x:v>
      </x:c>
      <x:c r="J98" s="112" t="str">
        <x:v>International Warehouse</x:v>
      </x:c>
      <x:c r="K98" s="148" t="str"/>
      <x:c r="L98" s="148" t="str"/>
      <x:c r="M98" s="112" t="str">
        <x:v>Published</x:v>
      </x:c>
      <x:c r="N98" s="113" t="str">
        <x:v>https://www.klarelle.store/product/1d3d06ac-1afd-4cec-9b81-8c044cba7e4e</x:v>
      </x:c>
      <x:c r="O98" s="113" t="str">
        <x:v>Supplier-held inventory; no NJ bin unless transferred</x:v>
      </x:c>
      <x:c r="P98" s="112" t="str">
        <x:f>A98</x:f>
        <x:v>KLA-D020-BLK-M</x:v>
      </x:c>
      <x:c r="Q98" s="112" t="str">
        <x:f>IF(COUNTIF($A$9:$A$303,A98)&gt;1,"DUPLICATE","OK")</x:f>
        <x:v>OK</x:v>
      </x:c>
    </x:row>
    <x:row r="99" ht="24" customHeight="1">
      <x:c r="A99" s="144" t="str">
        <x:f>IF(B99&lt;&gt;"",B99,"KLA-"&amp;C99&amp;"-"&amp;G99&amp;"-"&amp;H99)</x:f>
        <x:v>KLA-D020-BLK-S</x:v>
      </x:c>
      <x:c r="B99" s="145" t="str"/>
      <x:c r="C99" s="146" t="str">
        <x:v>D020</x:v>
      </x:c>
      <x:c r="D99" s="112" t="str">
        <x:v>Malia Crystal Halter Gown</x:v>
      </x:c>
      <x:c r="E99" s="112" t="str">
        <x:v>Dress</x:v>
      </x:c>
      <x:c r="F99" s="112" t="str">
        <x:v>Black</x:v>
      </x:c>
      <x:c r="G99" s="146" t="str">
        <x:v>BLK</x:v>
      </x:c>
      <x:c r="H99" s="146" t="str">
        <x:v>S</x:v>
      </x:c>
      <x:c r="I99" s="147" t="n">
        <x:v>109</x:v>
      </x:c>
      <x:c r="J99" s="112" t="str">
        <x:v>International Warehouse</x:v>
      </x:c>
      <x:c r="K99" s="148" t="str"/>
      <x:c r="L99" s="148" t="str"/>
      <x:c r="M99" s="112" t="str">
        <x:v>Published</x:v>
      </x:c>
      <x:c r="N99" s="113" t="str">
        <x:v>https://www.klarelle.store/product/1d3d06ac-1afd-4cec-9b81-8c044cba7e4e</x:v>
      </x:c>
      <x:c r="O99" s="113" t="str">
        <x:v>Supplier-held inventory; no NJ bin unless transferred</x:v>
      </x:c>
      <x:c r="P99" s="112" t="str">
        <x:f>A99</x:f>
        <x:v>KLA-D020-BLK-S</x:v>
      </x:c>
      <x:c r="Q99" s="112" t="str">
        <x:f>IF(COUNTIF($A$9:$A$303,A99)&gt;1,"DUPLICATE","OK")</x:f>
        <x:v>OK</x:v>
      </x:c>
    </x:row>
    <x:row r="100" ht="24" customHeight="1">
      <x:c r="A100" s="144" t="str">
        <x:f>IF(B100&lt;&gt;"",B100,"KLA-"&amp;C100&amp;"-"&amp;G100&amp;"-"&amp;H100)</x:f>
        <x:v>KLA-D020-BLK-XL</x:v>
      </x:c>
      <x:c r="B100" s="145" t="str"/>
      <x:c r="C100" s="146" t="str">
        <x:v>D020</x:v>
      </x:c>
      <x:c r="D100" s="112" t="str">
        <x:v>Malia Crystal Halter Gown</x:v>
      </x:c>
      <x:c r="E100" s="112" t="str">
        <x:v>Dress</x:v>
      </x:c>
      <x:c r="F100" s="112" t="str">
        <x:v>Black</x:v>
      </x:c>
      <x:c r="G100" s="146" t="str">
        <x:v>BLK</x:v>
      </x:c>
      <x:c r="H100" s="146" t="str">
        <x:v>XL</x:v>
      </x:c>
      <x:c r="I100" s="147" t="n">
        <x:v>109</x:v>
      </x:c>
      <x:c r="J100" s="112" t="str">
        <x:v>International Warehouse</x:v>
      </x:c>
      <x:c r="K100" s="148" t="str"/>
      <x:c r="L100" s="148" t="str"/>
      <x:c r="M100" s="112" t="str">
        <x:v>Published</x:v>
      </x:c>
      <x:c r="N100" s="113" t="str">
        <x:v>https://www.klarelle.store/product/1d3d06ac-1afd-4cec-9b81-8c044cba7e4e</x:v>
      </x:c>
      <x:c r="O100" s="113" t="str">
        <x:v>Supplier-held inventory; no NJ bin unless transferred</x:v>
      </x:c>
      <x:c r="P100" s="112" t="str">
        <x:f>A100</x:f>
        <x:v>KLA-D020-BLK-XL</x:v>
      </x:c>
      <x:c r="Q100" s="112" t="str">
        <x:f>IF(COUNTIF($A$9:$A$303,A100)&gt;1,"DUPLICATE","OK")</x:f>
        <x:v>OK</x:v>
      </x:c>
    </x:row>
    <x:row r="101" ht="24" customHeight="1">
      <x:c r="A101" s="144" t="str">
        <x:f>IF(B101&lt;&gt;"",B101,"KLA-"&amp;C101&amp;"-"&amp;G101&amp;"-"&amp;H101)</x:f>
        <x:v>KLA-D021-PNK-L</x:v>
      </x:c>
      <x:c r="B101" s="145" t="str"/>
      <x:c r="C101" s="146" t="str">
        <x:v>D021</x:v>
      </x:c>
      <x:c r="D101" s="112" t="str">
        <x:v>Pearl Blush Siren</x:v>
      </x:c>
      <x:c r="E101" s="112" t="str">
        <x:v>Dress</x:v>
      </x:c>
      <x:c r="F101" s="112" t="str">
        <x:v>Pink</x:v>
      </x:c>
      <x:c r="G101" s="146" t="str">
        <x:v>PNK</x:v>
      </x:c>
      <x:c r="H101" s="146" t="str">
        <x:v>L</x:v>
      </x:c>
      <x:c r="I101" s="147" t="n">
        <x:v>96</x:v>
      </x:c>
      <x:c r="J101" s="112" t="str">
        <x:v>International Warehouse</x:v>
      </x:c>
      <x:c r="K101" s="148" t="str"/>
      <x:c r="L101" s="148" t="str"/>
      <x:c r="M101" s="112" t="str">
        <x:v>Published</x:v>
      </x:c>
      <x:c r="N101" s="113" t="str">
        <x:v>https://www.klarelle.store/product/0a46ce7e-12a3-49ab-9945-4d9f2d0722a0</x:v>
      </x:c>
      <x:c r="O101" s="113" t="str">
        <x:v>Supplier-held inventory; no NJ bin unless transferred</x:v>
      </x:c>
      <x:c r="P101" s="112" t="str">
        <x:f>A101</x:f>
        <x:v>KLA-D021-PNK-L</x:v>
      </x:c>
      <x:c r="Q101" s="112" t="str">
        <x:f>IF(COUNTIF($A$9:$A$303,A101)&gt;1,"DUPLICATE","OK")</x:f>
        <x:v>OK</x:v>
      </x:c>
    </x:row>
    <x:row r="102" ht="24" customHeight="1">
      <x:c r="A102" s="144" t="str">
        <x:f>IF(B102&lt;&gt;"",B102,"KLA-"&amp;C102&amp;"-"&amp;G102&amp;"-"&amp;H102)</x:f>
        <x:v>KLA-D021-PNK-M</x:v>
      </x:c>
      <x:c r="B102" s="145" t="str"/>
      <x:c r="C102" s="146" t="str">
        <x:v>D021</x:v>
      </x:c>
      <x:c r="D102" s="112" t="str">
        <x:v>Pearl Blush Siren</x:v>
      </x:c>
      <x:c r="E102" s="112" t="str">
        <x:v>Dress</x:v>
      </x:c>
      <x:c r="F102" s="112" t="str">
        <x:v>Pink</x:v>
      </x:c>
      <x:c r="G102" s="146" t="str">
        <x:v>PNK</x:v>
      </x:c>
      <x:c r="H102" s="146" t="str">
        <x:v>M</x:v>
      </x:c>
      <x:c r="I102" s="147" t="n">
        <x:v>96</x:v>
      </x:c>
      <x:c r="J102" s="112" t="str">
        <x:v>International Warehouse</x:v>
      </x:c>
      <x:c r="K102" s="148" t="str"/>
      <x:c r="L102" s="148" t="str"/>
      <x:c r="M102" s="112" t="str">
        <x:v>Published</x:v>
      </x:c>
      <x:c r="N102" s="113" t="str">
        <x:v>https://www.klarelle.store/product/0a46ce7e-12a3-49ab-9945-4d9f2d0722a0</x:v>
      </x:c>
      <x:c r="O102" s="113" t="str">
        <x:v>Supplier-held inventory; no NJ bin unless transferred</x:v>
      </x:c>
      <x:c r="P102" s="112" t="str">
        <x:f>A102</x:f>
        <x:v>KLA-D021-PNK-M</x:v>
      </x:c>
      <x:c r="Q102" s="112" t="str">
        <x:f>IF(COUNTIF($A$9:$A$303,A102)&gt;1,"DUPLICATE","OK")</x:f>
        <x:v>OK</x:v>
      </x:c>
    </x:row>
    <x:row r="103" ht="24" customHeight="1">
      <x:c r="A103" s="144" t="str">
        <x:f>IF(B103&lt;&gt;"",B103,"KLA-"&amp;C103&amp;"-"&amp;G103&amp;"-"&amp;H103)</x:f>
        <x:v>KLA-D021-PNK-S</x:v>
      </x:c>
      <x:c r="B103" s="145" t="str"/>
      <x:c r="C103" s="146" t="str">
        <x:v>D021</x:v>
      </x:c>
      <x:c r="D103" s="112" t="str">
        <x:v>Pearl Blush Siren</x:v>
      </x:c>
      <x:c r="E103" s="112" t="str">
        <x:v>Dress</x:v>
      </x:c>
      <x:c r="F103" s="112" t="str">
        <x:v>Pink</x:v>
      </x:c>
      <x:c r="G103" s="146" t="str">
        <x:v>PNK</x:v>
      </x:c>
      <x:c r="H103" s="146" t="str">
        <x:v>S</x:v>
      </x:c>
      <x:c r="I103" s="147" t="n">
        <x:v>96</x:v>
      </x:c>
      <x:c r="J103" s="112" t="str">
        <x:v>International Warehouse</x:v>
      </x:c>
      <x:c r="K103" s="148" t="str"/>
      <x:c r="L103" s="148" t="str"/>
      <x:c r="M103" s="112" t="str">
        <x:v>Published</x:v>
      </x:c>
      <x:c r="N103" s="113" t="str">
        <x:v>https://www.klarelle.store/product/0a46ce7e-12a3-49ab-9945-4d9f2d0722a0</x:v>
      </x:c>
      <x:c r="O103" s="113" t="str">
        <x:v>Supplier-held inventory; no NJ bin unless transferred</x:v>
      </x:c>
      <x:c r="P103" s="112" t="str">
        <x:f>A103</x:f>
        <x:v>KLA-D021-PNK-S</x:v>
      </x:c>
      <x:c r="Q103" s="112" t="str">
        <x:f>IF(COUNTIF($A$9:$A$303,A103)&gt;1,"DUPLICATE","OK")</x:f>
        <x:v>OK</x:v>
      </x:c>
    </x:row>
    <x:row r="104" ht="24" customHeight="1">
      <x:c r="A104" s="144" t="str">
        <x:f>IF(B104&lt;&gt;"",B104,"KLA-"&amp;C104&amp;"-"&amp;G104&amp;"-"&amp;H104)</x:f>
        <x:v>KLA-D021-PNK-XL</x:v>
      </x:c>
      <x:c r="B104" s="145" t="str"/>
      <x:c r="C104" s="146" t="str">
        <x:v>D021</x:v>
      </x:c>
      <x:c r="D104" s="112" t="str">
        <x:v>Pearl Blush Siren</x:v>
      </x:c>
      <x:c r="E104" s="112" t="str">
        <x:v>Dress</x:v>
      </x:c>
      <x:c r="F104" s="112" t="str">
        <x:v>Pink</x:v>
      </x:c>
      <x:c r="G104" s="146" t="str">
        <x:v>PNK</x:v>
      </x:c>
      <x:c r="H104" s="146" t="str">
        <x:v>XL</x:v>
      </x:c>
      <x:c r="I104" s="147" t="n">
        <x:v>96</x:v>
      </x:c>
      <x:c r="J104" s="112" t="str">
        <x:v>International Warehouse</x:v>
      </x:c>
      <x:c r="K104" s="148" t="str"/>
      <x:c r="L104" s="148" t="str"/>
      <x:c r="M104" s="112" t="str">
        <x:v>Published</x:v>
      </x:c>
      <x:c r="N104" s="113" t="str">
        <x:v>https://www.klarelle.store/product/0a46ce7e-12a3-49ab-9945-4d9f2d0722a0</x:v>
      </x:c>
      <x:c r="O104" s="113" t="str">
        <x:v>Supplier-held inventory; no NJ bin unless transferred</x:v>
      </x:c>
      <x:c r="P104" s="112" t="str">
        <x:f>A104</x:f>
        <x:v>KLA-D021-PNK-XL</x:v>
      </x:c>
      <x:c r="Q104" s="112" t="str">
        <x:f>IF(COUNTIF($A$9:$A$303,A104)&gt;1,"DUPLICATE","OK")</x:f>
        <x:v>OK</x:v>
      </x:c>
    </x:row>
    <x:row r="105" ht="24" customHeight="1">
      <x:c r="A105" s="144" t="str">
        <x:f>IF(B105&lt;&gt;"",B105,"KLA-"&amp;C105&amp;"-"&amp;G105&amp;"-"&amp;H105)</x:f>
        <x:v>KLA-D022-YLW-L</x:v>
      </x:c>
      <x:c r="B105" s="145" t="str"/>
      <x:c r="C105" s="146" t="str">
        <x:v>D022</x:v>
      </x:c>
      <x:c r="D105" s="112" t="str">
        <x:v>Sunlit Bow Reverie</x:v>
      </x:c>
      <x:c r="E105" s="112" t="str">
        <x:v>Dress</x:v>
      </x:c>
      <x:c r="F105" s="112" t="str">
        <x:v>Yellow</x:v>
      </x:c>
      <x:c r="G105" s="146" t="str">
        <x:v>YLW</x:v>
      </x:c>
      <x:c r="H105" s="146" t="str">
        <x:v>L</x:v>
      </x:c>
      <x:c r="I105" s="147" t="n">
        <x:v>69</x:v>
      </x:c>
      <x:c r="J105" s="112" t="str">
        <x:v>International Warehouse</x:v>
      </x:c>
      <x:c r="K105" s="148" t="str"/>
      <x:c r="L105" s="148" t="str"/>
      <x:c r="M105" s="112" t="str">
        <x:v>Published</x:v>
      </x:c>
      <x:c r="N105" s="113" t="str">
        <x:v>https://www.klarelle.store/product/6c78dbcd-9630-46f7-ba68-71a656276baf</x:v>
      </x:c>
      <x:c r="O105" s="113" t="str">
        <x:v>Supplier-held inventory; no NJ bin unless transferred</x:v>
      </x:c>
      <x:c r="P105" s="112" t="str">
        <x:f>A105</x:f>
        <x:v>KLA-D022-YLW-L</x:v>
      </x:c>
      <x:c r="Q105" s="112" t="str">
        <x:f>IF(COUNTIF($A$9:$A$303,A105)&gt;1,"DUPLICATE","OK")</x:f>
        <x:v>OK</x:v>
      </x:c>
    </x:row>
    <x:row r="106" ht="24" customHeight="1">
      <x:c r="A106" s="144" t="str">
        <x:f>IF(B106&lt;&gt;"",B106,"KLA-"&amp;C106&amp;"-"&amp;G106&amp;"-"&amp;H106)</x:f>
        <x:v>KLA-D022-YLW-M</x:v>
      </x:c>
      <x:c r="B106" s="145" t="str"/>
      <x:c r="C106" s="146" t="str">
        <x:v>D022</x:v>
      </x:c>
      <x:c r="D106" s="112" t="str">
        <x:v>Sunlit Bow Reverie</x:v>
      </x:c>
      <x:c r="E106" s="112" t="str">
        <x:v>Dress</x:v>
      </x:c>
      <x:c r="F106" s="112" t="str">
        <x:v>Yellow</x:v>
      </x:c>
      <x:c r="G106" s="146" t="str">
        <x:v>YLW</x:v>
      </x:c>
      <x:c r="H106" s="146" t="str">
        <x:v>M</x:v>
      </x:c>
      <x:c r="I106" s="147" t="n">
        <x:v>69</x:v>
      </x:c>
      <x:c r="J106" s="112" t="str">
        <x:v>International Warehouse</x:v>
      </x:c>
      <x:c r="K106" s="148" t="str"/>
      <x:c r="L106" s="148" t="str"/>
      <x:c r="M106" s="112" t="str">
        <x:v>Published</x:v>
      </x:c>
      <x:c r="N106" s="113" t="str">
        <x:v>https://www.klarelle.store/product/6c78dbcd-9630-46f7-ba68-71a656276baf</x:v>
      </x:c>
      <x:c r="O106" s="113" t="str">
        <x:v>Supplier-held inventory; no NJ bin unless transferred</x:v>
      </x:c>
      <x:c r="P106" s="112" t="str">
        <x:f>A106</x:f>
        <x:v>KLA-D022-YLW-M</x:v>
      </x:c>
      <x:c r="Q106" s="112" t="str">
        <x:f>IF(COUNTIF($A$9:$A$303,A106)&gt;1,"DUPLICATE","OK")</x:f>
        <x:v>OK</x:v>
      </x:c>
    </x:row>
    <x:row r="107" ht="24" customHeight="1">
      <x:c r="A107" s="144" t="str">
        <x:f>IF(B107&lt;&gt;"",B107,"KLA-"&amp;C107&amp;"-"&amp;G107&amp;"-"&amp;H107)</x:f>
        <x:v>KLA-D022-YLW-S</x:v>
      </x:c>
      <x:c r="B107" s="145" t="str"/>
      <x:c r="C107" s="146" t="str">
        <x:v>D022</x:v>
      </x:c>
      <x:c r="D107" s="112" t="str">
        <x:v>Sunlit Bow Reverie</x:v>
      </x:c>
      <x:c r="E107" s="112" t="str">
        <x:v>Dress</x:v>
      </x:c>
      <x:c r="F107" s="112" t="str">
        <x:v>Yellow</x:v>
      </x:c>
      <x:c r="G107" s="146" t="str">
        <x:v>YLW</x:v>
      </x:c>
      <x:c r="H107" s="146" t="str">
        <x:v>S</x:v>
      </x:c>
      <x:c r="I107" s="147" t="n">
        <x:v>69</x:v>
      </x:c>
      <x:c r="J107" s="112" t="str">
        <x:v>International Warehouse</x:v>
      </x:c>
      <x:c r="K107" s="148" t="str"/>
      <x:c r="L107" s="148" t="str"/>
      <x:c r="M107" s="112" t="str">
        <x:v>Published</x:v>
      </x:c>
      <x:c r="N107" s="113" t="str">
        <x:v>https://www.klarelle.store/product/6c78dbcd-9630-46f7-ba68-71a656276baf</x:v>
      </x:c>
      <x:c r="O107" s="113" t="str">
        <x:v>Supplier-held inventory; no NJ bin unless transferred</x:v>
      </x:c>
      <x:c r="P107" s="112" t="str">
        <x:f>A107</x:f>
        <x:v>KLA-D022-YLW-S</x:v>
      </x:c>
      <x:c r="Q107" s="112" t="str">
        <x:f>IF(COUNTIF($A$9:$A$303,A107)&gt;1,"DUPLICATE","OK")</x:f>
        <x:v>OK</x:v>
      </x:c>
    </x:row>
    <x:row r="108" ht="24" customHeight="1">
      <x:c r="A108" s="144" t="str">
        <x:f>IF(B108&lt;&gt;"",B108,"KLA-"&amp;C108&amp;"-"&amp;G108&amp;"-"&amp;H108)</x:f>
        <x:v>KLA-D022-YLW-XL</x:v>
      </x:c>
      <x:c r="B108" s="145" t="str"/>
      <x:c r="C108" s="146" t="str">
        <x:v>D022</x:v>
      </x:c>
      <x:c r="D108" s="112" t="str">
        <x:v>Sunlit Bow Reverie</x:v>
      </x:c>
      <x:c r="E108" s="112" t="str">
        <x:v>Dress</x:v>
      </x:c>
      <x:c r="F108" s="112" t="str">
        <x:v>Yellow</x:v>
      </x:c>
      <x:c r="G108" s="146" t="str">
        <x:v>YLW</x:v>
      </x:c>
      <x:c r="H108" s="146" t="str">
        <x:v>XL</x:v>
      </x:c>
      <x:c r="I108" s="147" t="n">
        <x:v>69</x:v>
      </x:c>
      <x:c r="J108" s="112" t="str">
        <x:v>International Warehouse</x:v>
      </x:c>
      <x:c r="K108" s="148" t="str"/>
      <x:c r="L108" s="148" t="str"/>
      <x:c r="M108" s="112" t="str">
        <x:v>Published</x:v>
      </x:c>
      <x:c r="N108" s="113" t="str">
        <x:v>https://www.klarelle.store/product/6c78dbcd-9630-46f7-ba68-71a656276baf</x:v>
      </x:c>
      <x:c r="O108" s="113" t="str">
        <x:v>Supplier-held inventory; no NJ bin unless transferred</x:v>
      </x:c>
      <x:c r="P108" s="112" t="str">
        <x:f>A108</x:f>
        <x:v>KLA-D022-YLW-XL</x:v>
      </x:c>
      <x:c r="Q108" s="112" t="str">
        <x:f>IF(COUNTIF($A$9:$A$303,A108)&gt;1,"DUPLICATE","OK")</x:f>
        <x:v>OK</x:v>
      </x:c>
    </x:row>
    <x:row r="109" ht="24" customHeight="1">
      <x:c r="A109" s="144" t="str">
        <x:f>IF(B109&lt;&gt;"",B109,"KLA-"&amp;C109&amp;"-"&amp;G109&amp;"-"&amp;H109)</x:f>
        <x:v>KLA-D023-PNK-L</x:v>
      </x:c>
      <x:c r="B109" s="145" t="str"/>
      <x:c r="C109" s="146" t="str">
        <x:v>D023</x:v>
      </x:c>
      <x:c r="D109" s="112" t="str">
        <x:v>Rosé Ruffle Muse</x:v>
      </x:c>
      <x:c r="E109" s="112" t="str">
        <x:v>Dress</x:v>
      </x:c>
      <x:c r="F109" s="112" t="str">
        <x:v>Pink</x:v>
      </x:c>
      <x:c r="G109" s="146" t="str">
        <x:v>PNK</x:v>
      </x:c>
      <x:c r="H109" s="146" t="str">
        <x:v>L</x:v>
      </x:c>
      <x:c r="I109" s="147" t="n">
        <x:v>92</x:v>
      </x:c>
      <x:c r="J109" s="112" t="str">
        <x:v>International Warehouse</x:v>
      </x:c>
      <x:c r="K109" s="148" t="str"/>
      <x:c r="L109" s="148" t="str"/>
      <x:c r="M109" s="112" t="str">
        <x:v>Published</x:v>
      </x:c>
      <x:c r="N109" s="113" t="str">
        <x:v>https://www.klarelle.store/product/0ef0d62b-0ceb-4a39-90b3-265d8a173c9b</x:v>
      </x:c>
      <x:c r="O109" s="113" t="str">
        <x:v>Supplier-held inventory; no NJ bin unless transferred</x:v>
      </x:c>
      <x:c r="P109" s="112" t="str">
        <x:f>A109</x:f>
        <x:v>KLA-D023-PNK-L</x:v>
      </x:c>
      <x:c r="Q109" s="112" t="str">
        <x:f>IF(COUNTIF($A$9:$A$303,A109)&gt;1,"DUPLICATE","OK")</x:f>
        <x:v>OK</x:v>
      </x:c>
    </x:row>
    <x:row r="110" ht="24" customHeight="1">
      <x:c r="A110" s="144" t="str">
        <x:f>IF(B110&lt;&gt;"",B110,"KLA-"&amp;C110&amp;"-"&amp;G110&amp;"-"&amp;H110)</x:f>
        <x:v>KLA-D023-PNK-M</x:v>
      </x:c>
      <x:c r="B110" s="145" t="str"/>
      <x:c r="C110" s="146" t="str">
        <x:v>D023</x:v>
      </x:c>
      <x:c r="D110" s="112" t="str">
        <x:v>Rosé Ruffle Muse</x:v>
      </x:c>
      <x:c r="E110" s="112" t="str">
        <x:v>Dress</x:v>
      </x:c>
      <x:c r="F110" s="112" t="str">
        <x:v>Pink</x:v>
      </x:c>
      <x:c r="G110" s="146" t="str">
        <x:v>PNK</x:v>
      </x:c>
      <x:c r="H110" s="146" t="str">
        <x:v>M</x:v>
      </x:c>
      <x:c r="I110" s="147" t="n">
        <x:v>92</x:v>
      </x:c>
      <x:c r="J110" s="112" t="str">
        <x:v>International Warehouse</x:v>
      </x:c>
      <x:c r="K110" s="148" t="str"/>
      <x:c r="L110" s="148" t="str"/>
      <x:c r="M110" s="112" t="str">
        <x:v>Published</x:v>
      </x:c>
      <x:c r="N110" s="113" t="str">
        <x:v>https://www.klarelle.store/product/0ef0d62b-0ceb-4a39-90b3-265d8a173c9b</x:v>
      </x:c>
      <x:c r="O110" s="113" t="str">
        <x:v>Supplier-held inventory; no NJ bin unless transferred</x:v>
      </x:c>
      <x:c r="P110" s="112" t="str">
        <x:f>A110</x:f>
        <x:v>KLA-D023-PNK-M</x:v>
      </x:c>
      <x:c r="Q110" s="112" t="str">
        <x:f>IF(COUNTIF($A$9:$A$303,A110)&gt;1,"DUPLICATE","OK")</x:f>
        <x:v>OK</x:v>
      </x:c>
    </x:row>
    <x:row r="111" ht="24" customHeight="1">
      <x:c r="A111" s="144" t="str">
        <x:f>IF(B111&lt;&gt;"",B111,"KLA-"&amp;C111&amp;"-"&amp;G111&amp;"-"&amp;H111)</x:f>
        <x:v>KLA-D023-PNK-S</x:v>
      </x:c>
      <x:c r="B111" s="145" t="str"/>
      <x:c r="C111" s="146" t="str">
        <x:v>D023</x:v>
      </x:c>
      <x:c r="D111" s="112" t="str">
        <x:v>Rosé Ruffle Muse</x:v>
      </x:c>
      <x:c r="E111" s="112" t="str">
        <x:v>Dress</x:v>
      </x:c>
      <x:c r="F111" s="112" t="str">
        <x:v>Pink</x:v>
      </x:c>
      <x:c r="G111" s="146" t="str">
        <x:v>PNK</x:v>
      </x:c>
      <x:c r="H111" s="146" t="str">
        <x:v>S</x:v>
      </x:c>
      <x:c r="I111" s="147" t="n">
        <x:v>92</x:v>
      </x:c>
      <x:c r="J111" s="112" t="str">
        <x:v>International Warehouse</x:v>
      </x:c>
      <x:c r="K111" s="148" t="str"/>
      <x:c r="L111" s="148" t="str"/>
      <x:c r="M111" s="112" t="str">
        <x:v>Published</x:v>
      </x:c>
      <x:c r="N111" s="113" t="str">
        <x:v>https://www.klarelle.store/product/0ef0d62b-0ceb-4a39-90b3-265d8a173c9b</x:v>
      </x:c>
      <x:c r="O111" s="113" t="str">
        <x:v>Supplier-held inventory; no NJ bin unless transferred</x:v>
      </x:c>
      <x:c r="P111" s="112" t="str">
        <x:f>A111</x:f>
        <x:v>KLA-D023-PNK-S</x:v>
      </x:c>
      <x:c r="Q111" s="112" t="str">
        <x:f>IF(COUNTIF($A$9:$A$303,A111)&gt;1,"DUPLICATE","OK")</x:f>
        <x:v>OK</x:v>
      </x:c>
    </x:row>
    <x:row r="112" ht="24" customHeight="1">
      <x:c r="A112" s="144" t="str">
        <x:f>IF(B112&lt;&gt;"",B112,"KLA-"&amp;C112&amp;"-"&amp;G112&amp;"-"&amp;H112)</x:f>
        <x:v>KLA-D023-PNK-XL</x:v>
      </x:c>
      <x:c r="B112" s="145" t="str"/>
      <x:c r="C112" s="146" t="str">
        <x:v>D023</x:v>
      </x:c>
      <x:c r="D112" s="112" t="str">
        <x:v>Rosé Ruffle Muse</x:v>
      </x:c>
      <x:c r="E112" s="112" t="str">
        <x:v>Dress</x:v>
      </x:c>
      <x:c r="F112" s="112" t="str">
        <x:v>Pink</x:v>
      </x:c>
      <x:c r="G112" s="146" t="str">
        <x:v>PNK</x:v>
      </x:c>
      <x:c r="H112" s="146" t="str">
        <x:v>XL</x:v>
      </x:c>
      <x:c r="I112" s="147" t="n">
        <x:v>92</x:v>
      </x:c>
      <x:c r="J112" s="112" t="str">
        <x:v>International Warehouse</x:v>
      </x:c>
      <x:c r="K112" s="148" t="str"/>
      <x:c r="L112" s="148" t="str"/>
      <x:c r="M112" s="112" t="str">
        <x:v>Published</x:v>
      </x:c>
      <x:c r="N112" s="113" t="str">
        <x:v>https://www.klarelle.store/product/0ef0d62b-0ceb-4a39-90b3-265d8a173c9b</x:v>
      </x:c>
      <x:c r="O112" s="113" t="str">
        <x:v>Supplier-held inventory; no NJ bin unless transferred</x:v>
      </x:c>
      <x:c r="P112" s="112" t="str">
        <x:f>A112</x:f>
        <x:v>KLA-D023-PNK-XL</x:v>
      </x:c>
      <x:c r="Q112" s="112" t="str">
        <x:f>IF(COUNTIF($A$9:$A$303,A112)&gt;1,"DUPLICATE","OK")</x:f>
        <x:v>OK</x:v>
      </x:c>
    </x:row>
    <x:row r="113" ht="24" customHeight="1">
      <x:c r="A113" s="144" t="str">
        <x:f>IF(B113&lt;&gt;"",B113,"KLA-"&amp;C113&amp;"-"&amp;G113&amp;"-"&amp;H113)</x:f>
        <x:v>KLA-D024-GLD-L</x:v>
      </x:c>
      <x:c r="B113" s="145" t="str"/>
      <x:c r="C113" s="146" t="str">
        <x:v>D024</x:v>
      </x:c>
      <x:c r="D113" s="112" t="str">
        <x:v>Golden Prism Royale</x:v>
      </x:c>
      <x:c r="E113" s="112" t="str">
        <x:v>Dress</x:v>
      </x:c>
      <x:c r="F113" s="112" t="str">
        <x:v>Gold</x:v>
      </x:c>
      <x:c r="G113" s="146" t="str">
        <x:v>GLD</x:v>
      </x:c>
      <x:c r="H113" s="146" t="str">
        <x:v>L</x:v>
      </x:c>
      <x:c r="I113" s="147" t="n">
        <x:v>129</x:v>
      </x:c>
      <x:c r="J113" s="112" t="str">
        <x:v>International Warehouse</x:v>
      </x:c>
      <x:c r="K113" s="148" t="str"/>
      <x:c r="L113" s="148" t="str"/>
      <x:c r="M113" s="112" t="str">
        <x:v>Published</x:v>
      </x:c>
      <x:c r="N113" s="113" t="str">
        <x:v>https://www.klarelle.store/product/72d17281-fcef-4087-83d7-6f03fb75720b</x:v>
      </x:c>
      <x:c r="O113" s="113" t="str">
        <x:v>Supplier-held inventory; no NJ bin unless transferred</x:v>
      </x:c>
      <x:c r="P113" s="112" t="str">
        <x:f>A113</x:f>
        <x:v>KLA-D024-GLD-L</x:v>
      </x:c>
      <x:c r="Q113" s="112" t="str">
        <x:f>IF(COUNTIF($A$9:$A$303,A113)&gt;1,"DUPLICATE","OK")</x:f>
        <x:v>OK</x:v>
      </x:c>
    </x:row>
    <x:row r="114" ht="24" customHeight="1">
      <x:c r="A114" s="144" t="str">
        <x:f>IF(B114&lt;&gt;"",B114,"KLA-"&amp;C114&amp;"-"&amp;G114&amp;"-"&amp;H114)</x:f>
        <x:v>KLA-D024-GLD-M</x:v>
      </x:c>
      <x:c r="B114" s="145" t="str"/>
      <x:c r="C114" s="146" t="str">
        <x:v>D024</x:v>
      </x:c>
      <x:c r="D114" s="112" t="str">
        <x:v>Golden Prism Royale</x:v>
      </x:c>
      <x:c r="E114" s="112" t="str">
        <x:v>Dress</x:v>
      </x:c>
      <x:c r="F114" s="112" t="str">
        <x:v>Gold</x:v>
      </x:c>
      <x:c r="G114" s="146" t="str">
        <x:v>GLD</x:v>
      </x:c>
      <x:c r="H114" s="146" t="str">
        <x:v>M</x:v>
      </x:c>
      <x:c r="I114" s="147" t="n">
        <x:v>129</x:v>
      </x:c>
      <x:c r="J114" s="112" t="str">
        <x:v>International Warehouse</x:v>
      </x:c>
      <x:c r="K114" s="148" t="str"/>
      <x:c r="L114" s="148" t="str"/>
      <x:c r="M114" s="112" t="str">
        <x:v>Published</x:v>
      </x:c>
      <x:c r="N114" s="113" t="str">
        <x:v>https://www.klarelle.store/product/72d17281-fcef-4087-83d7-6f03fb75720b</x:v>
      </x:c>
      <x:c r="O114" s="113" t="str">
        <x:v>Supplier-held inventory; no NJ bin unless transferred</x:v>
      </x:c>
      <x:c r="P114" s="112" t="str">
        <x:f>A114</x:f>
        <x:v>KLA-D024-GLD-M</x:v>
      </x:c>
      <x:c r="Q114" s="112" t="str">
        <x:f>IF(COUNTIF($A$9:$A$303,A114)&gt;1,"DUPLICATE","OK")</x:f>
        <x:v>OK</x:v>
      </x:c>
    </x:row>
    <x:row r="115" ht="24" customHeight="1">
      <x:c r="A115" s="144" t="str">
        <x:f>IF(B115&lt;&gt;"",B115,"KLA-"&amp;C115&amp;"-"&amp;G115&amp;"-"&amp;H115)</x:f>
        <x:v>KLA-D024-GLD-S</x:v>
      </x:c>
      <x:c r="B115" s="145" t="str"/>
      <x:c r="C115" s="146" t="str">
        <x:v>D024</x:v>
      </x:c>
      <x:c r="D115" s="112" t="str">
        <x:v>Golden Prism Royale</x:v>
      </x:c>
      <x:c r="E115" s="112" t="str">
        <x:v>Dress</x:v>
      </x:c>
      <x:c r="F115" s="112" t="str">
        <x:v>Gold</x:v>
      </x:c>
      <x:c r="G115" s="146" t="str">
        <x:v>GLD</x:v>
      </x:c>
      <x:c r="H115" s="146" t="str">
        <x:v>S</x:v>
      </x:c>
      <x:c r="I115" s="147" t="n">
        <x:v>129</x:v>
      </x:c>
      <x:c r="J115" s="112" t="str">
        <x:v>International Warehouse</x:v>
      </x:c>
      <x:c r="K115" s="148" t="str"/>
      <x:c r="L115" s="148" t="str"/>
      <x:c r="M115" s="112" t="str">
        <x:v>Published</x:v>
      </x:c>
      <x:c r="N115" s="113" t="str">
        <x:v>https://www.klarelle.store/product/72d17281-fcef-4087-83d7-6f03fb75720b</x:v>
      </x:c>
      <x:c r="O115" s="113" t="str">
        <x:v>Supplier-held inventory; no NJ bin unless transferred</x:v>
      </x:c>
      <x:c r="P115" s="112" t="str">
        <x:f>A115</x:f>
        <x:v>KLA-D024-GLD-S</x:v>
      </x:c>
      <x:c r="Q115" s="112" t="str">
        <x:f>IF(COUNTIF($A$9:$A$303,A115)&gt;1,"DUPLICATE","OK")</x:f>
        <x:v>OK</x:v>
      </x:c>
    </x:row>
    <x:row r="116" ht="24" customHeight="1">
      <x:c r="A116" s="144" t="str">
        <x:f>IF(B116&lt;&gt;"",B116,"KLA-"&amp;C116&amp;"-"&amp;G116&amp;"-"&amp;H116)</x:f>
        <x:v>KLA-D024-GLD-XL</x:v>
      </x:c>
      <x:c r="B116" s="145" t="str"/>
      <x:c r="C116" s="146" t="str">
        <x:v>D024</x:v>
      </x:c>
      <x:c r="D116" s="112" t="str">
        <x:v>Golden Prism Royale</x:v>
      </x:c>
      <x:c r="E116" s="112" t="str">
        <x:v>Dress</x:v>
      </x:c>
      <x:c r="F116" s="112" t="str">
        <x:v>Gold</x:v>
      </x:c>
      <x:c r="G116" s="146" t="str">
        <x:v>GLD</x:v>
      </x:c>
      <x:c r="H116" s="146" t="str">
        <x:v>XL</x:v>
      </x:c>
      <x:c r="I116" s="147" t="n">
        <x:v>129</x:v>
      </x:c>
      <x:c r="J116" s="112" t="str">
        <x:v>International Warehouse</x:v>
      </x:c>
      <x:c r="K116" s="148" t="str"/>
      <x:c r="L116" s="148" t="str"/>
      <x:c r="M116" s="112" t="str">
        <x:v>Published</x:v>
      </x:c>
      <x:c r="N116" s="113" t="str">
        <x:v>https://www.klarelle.store/product/72d17281-fcef-4087-83d7-6f03fb75720b</x:v>
      </x:c>
      <x:c r="O116" s="113" t="str">
        <x:v>Supplier-held inventory; no NJ bin unless transferred</x:v>
      </x:c>
      <x:c r="P116" s="112" t="str">
        <x:f>A116</x:f>
        <x:v>KLA-D024-GLD-XL</x:v>
      </x:c>
      <x:c r="Q116" s="112" t="str">
        <x:f>IF(COUNTIF($A$9:$A$303,A116)&gt;1,"DUPLICATE","OK")</x:f>
        <x:v>OK</x:v>
      </x:c>
    </x:row>
    <x:row r="117" ht="24" customHeight="1">
      <x:c r="A117" s="144" t="str">
        <x:f>IF(B117&lt;&gt;"",B117,"KLA-"&amp;C117&amp;"-"&amp;G117&amp;"-"&amp;H117)</x:f>
        <x:v>KLA-D025-GLD-L</x:v>
      </x:c>
      <x:c r="B117" s="145" t="str"/>
      <x:c r="C117" s="146" t="str">
        <x:v>D025</x:v>
      </x:c>
      <x:c r="D117" s="112" t="str">
        <x:v>Gilded Cascade Royale</x:v>
      </x:c>
      <x:c r="E117" s="112" t="str">
        <x:v>Dress</x:v>
      </x:c>
      <x:c r="F117" s="112" t="str">
        <x:v>Gold</x:v>
      </x:c>
      <x:c r="G117" s="146" t="str">
        <x:v>GLD</x:v>
      </x:c>
      <x:c r="H117" s="146" t="str">
        <x:v>L</x:v>
      </x:c>
      <x:c r="I117" s="147" t="n">
        <x:v>89</x:v>
      </x:c>
      <x:c r="J117" s="112" t="str">
        <x:v>International Warehouse</x:v>
      </x:c>
      <x:c r="K117" s="148" t="str"/>
      <x:c r="L117" s="148" t="str"/>
      <x:c r="M117" s="112" t="str">
        <x:v>Published</x:v>
      </x:c>
      <x:c r="N117" s="113" t="str">
        <x:v>https://www.klarelle.store/product/d6ffeaf0-ea48-4610-8b2d-d73e2e1b728a</x:v>
      </x:c>
      <x:c r="O117" s="113" t="str">
        <x:v>Supplier-held inventory; no NJ bin unless transferred</x:v>
      </x:c>
      <x:c r="P117" s="112" t="str">
        <x:f>A117</x:f>
        <x:v>KLA-D025-GLD-L</x:v>
      </x:c>
      <x:c r="Q117" s="112" t="str">
        <x:f>IF(COUNTIF($A$9:$A$303,A117)&gt;1,"DUPLICATE","OK")</x:f>
        <x:v>OK</x:v>
      </x:c>
    </x:row>
    <x:row r="118" ht="24" customHeight="1">
      <x:c r="A118" s="144" t="str">
        <x:f>IF(B118&lt;&gt;"",B118,"KLA-"&amp;C118&amp;"-"&amp;G118&amp;"-"&amp;H118)</x:f>
        <x:v>KLA-D025-GLD-M</x:v>
      </x:c>
      <x:c r="B118" s="145" t="str"/>
      <x:c r="C118" s="146" t="str">
        <x:v>D025</x:v>
      </x:c>
      <x:c r="D118" s="112" t="str">
        <x:v>Gilded Cascade Royale</x:v>
      </x:c>
      <x:c r="E118" s="112" t="str">
        <x:v>Dress</x:v>
      </x:c>
      <x:c r="F118" s="112" t="str">
        <x:v>Gold</x:v>
      </x:c>
      <x:c r="G118" s="146" t="str">
        <x:v>GLD</x:v>
      </x:c>
      <x:c r="H118" s="146" t="str">
        <x:v>M</x:v>
      </x:c>
      <x:c r="I118" s="147" t="n">
        <x:v>89</x:v>
      </x:c>
      <x:c r="J118" s="112" t="str">
        <x:v>International Warehouse</x:v>
      </x:c>
      <x:c r="K118" s="148" t="str"/>
      <x:c r="L118" s="148" t="str"/>
      <x:c r="M118" s="112" t="str">
        <x:v>Published</x:v>
      </x:c>
      <x:c r="N118" s="113" t="str">
        <x:v>https://www.klarelle.store/product/d6ffeaf0-ea48-4610-8b2d-d73e2e1b728a</x:v>
      </x:c>
      <x:c r="O118" s="113" t="str">
        <x:v>Supplier-held inventory; no NJ bin unless transferred</x:v>
      </x:c>
      <x:c r="P118" s="112" t="str">
        <x:f>A118</x:f>
        <x:v>KLA-D025-GLD-M</x:v>
      </x:c>
      <x:c r="Q118" s="112" t="str">
        <x:f>IF(COUNTIF($A$9:$A$303,A118)&gt;1,"DUPLICATE","OK")</x:f>
        <x:v>OK</x:v>
      </x:c>
    </x:row>
    <x:row r="119" ht="24" customHeight="1">
      <x:c r="A119" s="144" t="str">
        <x:f>IF(B119&lt;&gt;"",B119,"KLA-"&amp;C119&amp;"-"&amp;G119&amp;"-"&amp;H119)</x:f>
        <x:v>KLA-D025-GLD-XL</x:v>
      </x:c>
      <x:c r="B119" s="145" t="str"/>
      <x:c r="C119" s="146" t="str">
        <x:v>D025</x:v>
      </x:c>
      <x:c r="D119" s="112" t="str">
        <x:v>Gilded Cascade Royale</x:v>
      </x:c>
      <x:c r="E119" s="112" t="str">
        <x:v>Dress</x:v>
      </x:c>
      <x:c r="F119" s="112" t="str">
        <x:v>Gold</x:v>
      </x:c>
      <x:c r="G119" s="146" t="str">
        <x:v>GLD</x:v>
      </x:c>
      <x:c r="H119" s="146" t="str">
        <x:v>XL</x:v>
      </x:c>
      <x:c r="I119" s="147" t="n">
        <x:v>89</x:v>
      </x:c>
      <x:c r="J119" s="112" t="str">
        <x:v>International Warehouse</x:v>
      </x:c>
      <x:c r="K119" s="148" t="str"/>
      <x:c r="L119" s="148" t="str"/>
      <x:c r="M119" s="112" t="str">
        <x:v>Published</x:v>
      </x:c>
      <x:c r="N119" s="113" t="str">
        <x:v>https://www.klarelle.store/product/d6ffeaf0-ea48-4610-8b2d-d73e2e1b728a</x:v>
      </x:c>
      <x:c r="O119" s="113" t="str">
        <x:v>Supplier-held inventory; no NJ bin unless transferred</x:v>
      </x:c>
      <x:c r="P119" s="112" t="str">
        <x:f>A119</x:f>
        <x:v>KLA-D025-GLD-XL</x:v>
      </x:c>
      <x:c r="Q119" s="112" t="str">
        <x:f>IF(COUNTIF($A$9:$A$303,A119)&gt;1,"DUPLICATE","OK")</x:f>
        <x:v>OK</x:v>
      </x:c>
    </x:row>
    <x:row r="120" ht="24" customHeight="1">
      <x:c r="A120" s="144" t="str">
        <x:f>IF(B120&lt;&gt;"",B120,"KLA-"&amp;C120&amp;"-"&amp;G120&amp;"-"&amp;H120)</x:f>
        <x:v>KLA-D026-RWT-L</x:v>
      </x:c>
      <x:c r="B120" s="145" t="str"/>
      <x:c r="C120" s="146" t="str">
        <x:v>D026</x:v>
      </x:c>
      <x:c r="D120" s="112" t="str">
        <x:v>Luxurelle Royal Ember</x:v>
      </x:c>
      <x:c r="E120" s="112" t="str">
        <x:v>Dress</x:v>
      </x:c>
      <x:c r="F120" s="112" t="str">
        <x:v>Red And White</x:v>
      </x:c>
      <x:c r="G120" s="146" t="str">
        <x:v>RWT</x:v>
      </x:c>
      <x:c r="H120" s="146" t="str">
        <x:v>L</x:v>
      </x:c>
      <x:c r="I120" s="147" t="n">
        <x:v>289</x:v>
      </x:c>
      <x:c r="J120" s="112" t="str">
        <x:v>International Warehouse</x:v>
      </x:c>
      <x:c r="K120" s="148" t="str"/>
      <x:c r="L120" s="148" t="str"/>
      <x:c r="M120" s="112" t="str">
        <x:v>Published</x:v>
      </x:c>
      <x:c r="N120" s="113" t="str">
        <x:v>https://www.klarelle.store/product/39f1a705-5282-42b4-981b-4bf6554cca57</x:v>
      </x:c>
      <x:c r="O120" s="113" t="str">
        <x:v>Supplier-held inventory; no NJ bin unless transferred</x:v>
      </x:c>
      <x:c r="P120" s="112" t="str">
        <x:f>A120</x:f>
        <x:v>KLA-D026-RWT-L</x:v>
      </x:c>
      <x:c r="Q120" s="112" t="str">
        <x:f>IF(COUNTIF($A$9:$A$303,A120)&gt;1,"DUPLICATE","OK")</x:f>
        <x:v>OK</x:v>
      </x:c>
    </x:row>
    <x:row r="121" ht="24" customHeight="1">
      <x:c r="A121" s="144" t="str">
        <x:f>IF(B121&lt;&gt;"",B121,"KLA-"&amp;C121&amp;"-"&amp;G121&amp;"-"&amp;H121)</x:f>
        <x:v>KLA-D026-RWT-M</x:v>
      </x:c>
      <x:c r="B121" s="145" t="str"/>
      <x:c r="C121" s="146" t="str">
        <x:v>D026</x:v>
      </x:c>
      <x:c r="D121" s="112" t="str">
        <x:v>Luxurelle Royal Ember</x:v>
      </x:c>
      <x:c r="E121" s="112" t="str">
        <x:v>Dress</x:v>
      </x:c>
      <x:c r="F121" s="112" t="str">
        <x:v>Red And White</x:v>
      </x:c>
      <x:c r="G121" s="146" t="str">
        <x:v>RWT</x:v>
      </x:c>
      <x:c r="H121" s="146" t="str">
        <x:v>M</x:v>
      </x:c>
      <x:c r="I121" s="147" t="n">
        <x:v>289</x:v>
      </x:c>
      <x:c r="J121" s="112" t="str">
        <x:v>International Warehouse</x:v>
      </x:c>
      <x:c r="K121" s="148" t="str"/>
      <x:c r="L121" s="148" t="str"/>
      <x:c r="M121" s="112" t="str">
        <x:v>Published</x:v>
      </x:c>
      <x:c r="N121" s="113" t="str">
        <x:v>https://www.klarelle.store/product/39f1a705-5282-42b4-981b-4bf6554cca57</x:v>
      </x:c>
      <x:c r="O121" s="113" t="str">
        <x:v>Supplier-held inventory; no NJ bin unless transferred</x:v>
      </x:c>
      <x:c r="P121" s="112" t="str">
        <x:f>A121</x:f>
        <x:v>KLA-D026-RWT-M</x:v>
      </x:c>
      <x:c r="Q121" s="112" t="str">
        <x:f>IF(COUNTIF($A$9:$A$303,A121)&gt;1,"DUPLICATE","OK")</x:f>
        <x:v>OK</x:v>
      </x:c>
    </x:row>
    <x:row r="122" ht="24" customHeight="1">
      <x:c r="A122" s="144" t="str">
        <x:f>IF(B122&lt;&gt;"",B122,"KLA-"&amp;C122&amp;"-"&amp;G122&amp;"-"&amp;H122)</x:f>
        <x:v>KLA-D026-RWT-XL</x:v>
      </x:c>
      <x:c r="B122" s="145" t="str"/>
      <x:c r="C122" s="146" t="str">
        <x:v>D026</x:v>
      </x:c>
      <x:c r="D122" s="112" t="str">
        <x:v>Luxurelle Royal Ember</x:v>
      </x:c>
      <x:c r="E122" s="112" t="str">
        <x:v>Dress</x:v>
      </x:c>
      <x:c r="F122" s="112" t="str">
        <x:v>Red And White</x:v>
      </x:c>
      <x:c r="G122" s="146" t="str">
        <x:v>RWT</x:v>
      </x:c>
      <x:c r="H122" s="146" t="str">
        <x:v>XL</x:v>
      </x:c>
      <x:c r="I122" s="147" t="n">
        <x:v>289</x:v>
      </x:c>
      <x:c r="J122" s="112" t="str">
        <x:v>International Warehouse</x:v>
      </x:c>
      <x:c r="K122" s="148" t="str"/>
      <x:c r="L122" s="148" t="str"/>
      <x:c r="M122" s="112" t="str">
        <x:v>Published</x:v>
      </x:c>
      <x:c r="N122" s="113" t="str">
        <x:v>https://www.klarelle.store/product/39f1a705-5282-42b4-981b-4bf6554cca57</x:v>
      </x:c>
      <x:c r="O122" s="113" t="str">
        <x:v>Supplier-held inventory; no NJ bin unless transferred</x:v>
      </x:c>
      <x:c r="P122" s="112" t="str">
        <x:f>A122</x:f>
        <x:v>KLA-D026-RWT-XL</x:v>
      </x:c>
      <x:c r="Q122" s="112" t="str">
        <x:f>IF(COUNTIF($A$9:$A$303,A122)&gt;1,"DUPLICATE","OK")</x:f>
        <x:v>OK</x:v>
      </x:c>
    </x:row>
    <x:row r="123" ht="24" customHeight="1">
      <x:c r="A123" s="144" t="str">
        <x:f>IF(B123&lt;&gt;"",B123,"KLA-"&amp;C123&amp;"-"&amp;G123&amp;"-"&amp;H123)</x:f>
        <x:v>KLA-D027-BPK-L</x:v>
      </x:c>
      <x:c r="B123" s="145" t="str"/>
      <x:c r="C123" s="146" t="str">
        <x:v>D027</x:v>
      </x:c>
      <x:c r="D123" s="112" t="str">
        <x:v>Liana Rhinestone Dress</x:v>
      </x:c>
      <x:c r="E123" s="112" t="str">
        <x:v>Dress</x:v>
      </x:c>
      <x:c r="F123" s="112" t="str">
        <x:v>Baby Pink</x:v>
      </x:c>
      <x:c r="G123" s="146" t="str">
        <x:v>BPK</x:v>
      </x:c>
      <x:c r="H123" s="146" t="str">
        <x:v>L</x:v>
      </x:c>
      <x:c r="I123" s="147" t="n">
        <x:v>169</x:v>
      </x:c>
      <x:c r="J123" s="112" t="str">
        <x:v>US Warehouse</x:v>
      </x:c>
      <x:c r="K123" s="148" t="str"/>
      <x:c r="L123" s="148" t="str"/>
      <x:c r="M123" s="112" t="str">
        <x:v>Published</x:v>
      </x:c>
      <x:c r="N123" s="113" t="str">
        <x:v>https://www.klarelle.store/product/720a81a2-126e-446c-af0a-448763fe2444</x:v>
      </x:c>
      <x:c r="O123" s="113" t="str">
        <x:v>Assign NJ bin if physically stocked</x:v>
      </x:c>
      <x:c r="P123" s="112" t="str">
        <x:f>A123</x:f>
        <x:v>KLA-D027-BPK-L</x:v>
      </x:c>
      <x:c r="Q123" s="112" t="str">
        <x:f>IF(COUNTIF($A$9:$A$303,A123)&gt;1,"DUPLICATE","OK")</x:f>
        <x:v>OK</x:v>
      </x:c>
    </x:row>
    <x:row r="124" ht="24" customHeight="1">
      <x:c r="A124" s="144" t="str">
        <x:f>IF(B124&lt;&gt;"",B124,"KLA-"&amp;C124&amp;"-"&amp;G124&amp;"-"&amp;H124)</x:f>
        <x:v>KLA-D027-BPK-M</x:v>
      </x:c>
      <x:c r="B124" s="145" t="str"/>
      <x:c r="C124" s="146" t="str">
        <x:v>D027</x:v>
      </x:c>
      <x:c r="D124" s="112" t="str">
        <x:v>Liana Rhinestone Dress</x:v>
      </x:c>
      <x:c r="E124" s="112" t="str">
        <x:v>Dress</x:v>
      </x:c>
      <x:c r="F124" s="112" t="str">
        <x:v>Baby Pink</x:v>
      </x:c>
      <x:c r="G124" s="146" t="str">
        <x:v>BPK</x:v>
      </x:c>
      <x:c r="H124" s="146" t="str">
        <x:v>M</x:v>
      </x:c>
      <x:c r="I124" s="147" t="n">
        <x:v>169</x:v>
      </x:c>
      <x:c r="J124" s="112" t="str">
        <x:v>US Warehouse</x:v>
      </x:c>
      <x:c r="K124" s="148" t="str"/>
      <x:c r="L124" s="148" t="str"/>
      <x:c r="M124" s="112" t="str">
        <x:v>Published</x:v>
      </x:c>
      <x:c r="N124" s="113" t="str">
        <x:v>https://www.klarelle.store/product/720a81a2-126e-446c-af0a-448763fe2444</x:v>
      </x:c>
      <x:c r="O124" s="113" t="str">
        <x:v>Assign NJ bin if physically stocked</x:v>
      </x:c>
      <x:c r="P124" s="112" t="str">
        <x:f>A124</x:f>
        <x:v>KLA-D027-BPK-M</x:v>
      </x:c>
      <x:c r="Q124" s="112" t="str">
        <x:f>IF(COUNTIF($A$9:$A$303,A124)&gt;1,"DUPLICATE","OK")</x:f>
        <x:v>OK</x:v>
      </x:c>
    </x:row>
    <x:row r="125" ht="24" customHeight="1">
      <x:c r="A125" s="144" t="str">
        <x:f>IF(B125&lt;&gt;"",B125,"KLA-"&amp;C125&amp;"-"&amp;G125&amp;"-"&amp;H125)</x:f>
        <x:v>KLA-D027-BLU-L</x:v>
      </x:c>
      <x:c r="B125" s="145" t="str"/>
      <x:c r="C125" s="146" t="str">
        <x:v>D027</x:v>
      </x:c>
      <x:c r="D125" s="112" t="str">
        <x:v>Liana Rhinestone Dress</x:v>
      </x:c>
      <x:c r="E125" s="112" t="str">
        <x:v>Dress</x:v>
      </x:c>
      <x:c r="F125" s="112" t="str">
        <x:v>Blue</x:v>
      </x:c>
      <x:c r="G125" s="146" t="str">
        <x:v>BLU</x:v>
      </x:c>
      <x:c r="H125" s="146" t="str">
        <x:v>L</x:v>
      </x:c>
      <x:c r="I125" s="147" t="n">
        <x:v>169</x:v>
      </x:c>
      <x:c r="J125" s="112" t="str">
        <x:v>US Warehouse</x:v>
      </x:c>
      <x:c r="K125" s="148" t="str"/>
      <x:c r="L125" s="148" t="str"/>
      <x:c r="M125" s="112" t="str">
        <x:v>Published</x:v>
      </x:c>
      <x:c r="N125" s="113" t="str">
        <x:v>https://www.klarelle.store/product/720a81a2-126e-446c-af0a-448763fe2444</x:v>
      </x:c>
      <x:c r="O125" s="113" t="str">
        <x:v>Assign NJ bin if physically stocked</x:v>
      </x:c>
      <x:c r="P125" s="112" t="str">
        <x:f>A125</x:f>
        <x:v>KLA-D027-BLU-L</x:v>
      </x:c>
      <x:c r="Q125" s="112" t="str">
        <x:f>IF(COUNTIF($A$9:$A$303,A125)&gt;1,"DUPLICATE","OK")</x:f>
        <x:v>OK</x:v>
      </x:c>
    </x:row>
    <x:row r="126" ht="24" customHeight="1">
      <x:c r="A126" s="144" t="str">
        <x:f>IF(B126&lt;&gt;"",B126,"KLA-"&amp;C126&amp;"-"&amp;G126&amp;"-"&amp;H126)</x:f>
        <x:v>KLA-D027-BLU-M</x:v>
      </x:c>
      <x:c r="B126" s="145" t="str"/>
      <x:c r="C126" s="146" t="str">
        <x:v>D027</x:v>
      </x:c>
      <x:c r="D126" s="112" t="str">
        <x:v>Liana Rhinestone Dress</x:v>
      </x:c>
      <x:c r="E126" s="112" t="str">
        <x:v>Dress</x:v>
      </x:c>
      <x:c r="F126" s="112" t="str">
        <x:v>Blue</x:v>
      </x:c>
      <x:c r="G126" s="146" t="str">
        <x:v>BLU</x:v>
      </x:c>
      <x:c r="H126" s="146" t="str">
        <x:v>M</x:v>
      </x:c>
      <x:c r="I126" s="147" t="n">
        <x:v>169</x:v>
      </x:c>
      <x:c r="J126" s="112" t="str">
        <x:v>US Warehouse</x:v>
      </x:c>
      <x:c r="K126" s="148" t="str"/>
      <x:c r="L126" s="148" t="str"/>
      <x:c r="M126" s="112" t="str">
        <x:v>Published</x:v>
      </x:c>
      <x:c r="N126" s="113" t="str">
        <x:v>https://www.klarelle.store/product/720a81a2-126e-446c-af0a-448763fe2444</x:v>
      </x:c>
      <x:c r="O126" s="113" t="str">
        <x:v>Assign NJ bin if physically stocked</x:v>
      </x:c>
      <x:c r="P126" s="112" t="str">
        <x:f>A126</x:f>
        <x:v>KLA-D027-BLU-M</x:v>
      </x:c>
      <x:c r="Q126" s="112" t="str">
        <x:f>IF(COUNTIF($A$9:$A$303,A126)&gt;1,"DUPLICATE","OK")</x:f>
        <x:v>OK</x:v>
      </x:c>
    </x:row>
    <x:row r="127" ht="24" customHeight="1">
      <x:c r="A127" s="144" t="str">
        <x:f>IF(B127&lt;&gt;"",B127,"KLA-"&amp;C127&amp;"-"&amp;G127&amp;"-"&amp;H127)</x:f>
        <x:v>KLA-D027-LBL-L</x:v>
      </x:c>
      <x:c r="B127" s="145" t="str"/>
      <x:c r="C127" s="146" t="str">
        <x:v>D027</x:v>
      </x:c>
      <x:c r="D127" s="112" t="str">
        <x:v>Liana Rhinestone Dress</x:v>
      </x:c>
      <x:c r="E127" s="112" t="str">
        <x:v>Dress</x:v>
      </x:c>
      <x:c r="F127" s="112" t="str">
        <x:v>Light Blue</x:v>
      </x:c>
      <x:c r="G127" s="146" t="str">
        <x:v>LBL</x:v>
      </x:c>
      <x:c r="H127" s="146" t="str">
        <x:v>L</x:v>
      </x:c>
      <x:c r="I127" s="147" t="n">
        <x:v>169</x:v>
      </x:c>
      <x:c r="J127" s="112" t="str">
        <x:v>US Warehouse</x:v>
      </x:c>
      <x:c r="K127" s="148" t="str"/>
      <x:c r="L127" s="148" t="str"/>
      <x:c r="M127" s="112" t="str">
        <x:v>Published</x:v>
      </x:c>
      <x:c r="N127" s="113" t="str">
        <x:v>https://www.klarelle.store/product/720a81a2-126e-446c-af0a-448763fe2444</x:v>
      </x:c>
      <x:c r="O127" s="113" t="str">
        <x:v>Assign NJ bin if physically stocked</x:v>
      </x:c>
      <x:c r="P127" s="112" t="str">
        <x:f>A127</x:f>
        <x:v>KLA-D027-LBL-L</x:v>
      </x:c>
      <x:c r="Q127" s="112" t="str">
        <x:f>IF(COUNTIF($A$9:$A$303,A127)&gt;1,"DUPLICATE","OK")</x:f>
        <x:v>OK</x:v>
      </x:c>
    </x:row>
    <x:row r="128" ht="24" customHeight="1">
      <x:c r="A128" s="144" t="str">
        <x:f>IF(B128&lt;&gt;"",B128,"KLA-"&amp;C128&amp;"-"&amp;G128&amp;"-"&amp;H128)</x:f>
        <x:v>KLA-D027-LBL-M</x:v>
      </x:c>
      <x:c r="B128" s="145" t="str"/>
      <x:c r="C128" s="146" t="str">
        <x:v>D027</x:v>
      </x:c>
      <x:c r="D128" s="112" t="str">
        <x:v>Liana Rhinestone Dress</x:v>
      </x:c>
      <x:c r="E128" s="112" t="str">
        <x:v>Dress</x:v>
      </x:c>
      <x:c r="F128" s="112" t="str">
        <x:v>Light Blue</x:v>
      </x:c>
      <x:c r="G128" s="146" t="str">
        <x:v>LBL</x:v>
      </x:c>
      <x:c r="H128" s="146" t="str">
        <x:v>M</x:v>
      </x:c>
      <x:c r="I128" s="147" t="n">
        <x:v>169</x:v>
      </x:c>
      <x:c r="J128" s="112" t="str">
        <x:v>US Warehouse</x:v>
      </x:c>
      <x:c r="K128" s="148" t="str"/>
      <x:c r="L128" s="148" t="str"/>
      <x:c r="M128" s="112" t="str">
        <x:v>Published</x:v>
      </x:c>
      <x:c r="N128" s="113" t="str">
        <x:v>https://www.klarelle.store/product/720a81a2-126e-446c-af0a-448763fe2444</x:v>
      </x:c>
      <x:c r="O128" s="113" t="str">
        <x:v>Assign NJ bin if physically stocked</x:v>
      </x:c>
      <x:c r="P128" s="112" t="str">
        <x:f>A128</x:f>
        <x:v>KLA-D027-LBL-M</x:v>
      </x:c>
      <x:c r="Q128" s="112" t="str">
        <x:f>IF(COUNTIF($A$9:$A$303,A128)&gt;1,"DUPLICATE","OK")</x:f>
        <x:v>OK</x:v>
      </x:c>
    </x:row>
    <x:row r="129" ht="24" customHeight="1">
      <x:c r="A129" s="144" t="str">
        <x:f>IF(B129&lt;&gt;"",B129,"KLA-"&amp;C129&amp;"-"&amp;G129&amp;"-"&amp;H129)</x:f>
        <x:v>KLA-D027-VIO-L</x:v>
      </x:c>
      <x:c r="B129" s="145" t="str"/>
      <x:c r="C129" s="146" t="str">
        <x:v>D027</x:v>
      </x:c>
      <x:c r="D129" s="112" t="str">
        <x:v>Liana Rhinestone Dress</x:v>
      </x:c>
      <x:c r="E129" s="112" t="str">
        <x:v>Dress</x:v>
      </x:c>
      <x:c r="F129" s="112" t="str">
        <x:v>Violet</x:v>
      </x:c>
      <x:c r="G129" s="146" t="str">
        <x:v>VIO</x:v>
      </x:c>
      <x:c r="H129" s="146" t="str">
        <x:v>L</x:v>
      </x:c>
      <x:c r="I129" s="147" t="n">
        <x:v>169</x:v>
      </x:c>
      <x:c r="J129" s="112" t="str">
        <x:v>US Warehouse</x:v>
      </x:c>
      <x:c r="K129" s="148" t="str"/>
      <x:c r="L129" s="148" t="str"/>
      <x:c r="M129" s="112" t="str">
        <x:v>Published</x:v>
      </x:c>
      <x:c r="N129" s="113" t="str">
        <x:v>https://www.klarelle.store/product/720a81a2-126e-446c-af0a-448763fe2444</x:v>
      </x:c>
      <x:c r="O129" s="113" t="str">
        <x:v>Assign NJ bin if physically stocked</x:v>
      </x:c>
      <x:c r="P129" s="112" t="str">
        <x:f>A129</x:f>
        <x:v>KLA-D027-VIO-L</x:v>
      </x:c>
      <x:c r="Q129" s="112" t="str">
        <x:f>IF(COUNTIF($A$9:$A$303,A129)&gt;1,"DUPLICATE","OK")</x:f>
        <x:v>OK</x:v>
      </x:c>
    </x:row>
    <x:row r="130" ht="24" customHeight="1">
      <x:c r="A130" s="144" t="str">
        <x:f>IF(B130&lt;&gt;"",B130,"KLA-"&amp;C130&amp;"-"&amp;G130&amp;"-"&amp;H130)</x:f>
        <x:v>KLA-D027-VIO-M</x:v>
      </x:c>
      <x:c r="B130" s="145" t="str"/>
      <x:c r="C130" s="146" t="str">
        <x:v>D027</x:v>
      </x:c>
      <x:c r="D130" s="112" t="str">
        <x:v>Liana Rhinestone Dress</x:v>
      </x:c>
      <x:c r="E130" s="112" t="str">
        <x:v>Dress</x:v>
      </x:c>
      <x:c r="F130" s="112" t="str">
        <x:v>Violet</x:v>
      </x:c>
      <x:c r="G130" s="146" t="str">
        <x:v>VIO</x:v>
      </x:c>
      <x:c r="H130" s="146" t="str">
        <x:v>M</x:v>
      </x:c>
      <x:c r="I130" s="147" t="n">
        <x:v>169</x:v>
      </x:c>
      <x:c r="J130" s="112" t="str">
        <x:v>US Warehouse</x:v>
      </x:c>
      <x:c r="K130" s="148" t="str"/>
      <x:c r="L130" s="148" t="str"/>
      <x:c r="M130" s="112" t="str">
        <x:v>Published</x:v>
      </x:c>
      <x:c r="N130" s="113" t="str">
        <x:v>https://www.klarelle.store/product/720a81a2-126e-446c-af0a-448763fe2444</x:v>
      </x:c>
      <x:c r="O130" s="113" t="str">
        <x:v>Assign NJ bin if physically stocked</x:v>
      </x:c>
      <x:c r="P130" s="112" t="str">
        <x:f>A130</x:f>
        <x:v>KLA-D027-VIO-M</x:v>
      </x:c>
      <x:c r="Q130" s="112" t="str">
        <x:f>IF(COUNTIF($A$9:$A$303,A130)&gt;1,"DUPLICATE","OK")</x:f>
        <x:v>OK</x:v>
      </x:c>
    </x:row>
    <x:row r="131" ht="24" customHeight="1">
      <x:c r="A131" s="144" t="str">
        <x:f>IF(B131&lt;&gt;"",B131,"KLA-"&amp;C131&amp;"-"&amp;G131&amp;"-"&amp;H131)</x:f>
        <x:v>KLA-D028-MLT-L</x:v>
      </x:c>
      <x:c r="B131" s="145" t="str"/>
      <x:c r="C131" s="146" t="str">
        <x:v>D028</x:v>
      </x:c>
      <x:c r="D131" s="112" t="str">
        <x:v>Solenne Petal Gown</x:v>
      </x:c>
      <x:c r="E131" s="112" t="str">
        <x:v>Dress</x:v>
      </x:c>
      <x:c r="F131" s="112" t="str">
        <x:v>Multi</x:v>
      </x:c>
      <x:c r="G131" s="146" t="str">
        <x:v>MLT</x:v>
      </x:c>
      <x:c r="H131" s="146" t="str">
        <x:v>L</x:v>
      </x:c>
      <x:c r="I131" s="147" t="n">
        <x:v>82</x:v>
      </x:c>
      <x:c r="J131" s="112" t="str">
        <x:v>US Warehouse</x:v>
      </x:c>
      <x:c r="K131" s="148" t="str"/>
      <x:c r="L131" s="148" t="str"/>
      <x:c r="M131" s="112" t="str">
        <x:v>Published</x:v>
      </x:c>
      <x:c r="N131" s="113" t="str">
        <x:v>https://www.klarelle.store/product/75700d5a-9915-4552-bc92-fecabf79842b</x:v>
      </x:c>
      <x:c r="O131" s="113" t="str">
        <x:v>Assign NJ bin if physically stocked</x:v>
      </x:c>
      <x:c r="P131" s="112" t="str">
        <x:f>A131</x:f>
        <x:v>KLA-D028-MLT-L</x:v>
      </x:c>
      <x:c r="Q131" s="112" t="str">
        <x:f>IF(COUNTIF($A$9:$A$303,A131)&gt;1,"DUPLICATE","OK")</x:f>
        <x:v>OK</x:v>
      </x:c>
    </x:row>
    <x:row r="132" ht="24" customHeight="1">
      <x:c r="A132" s="144" t="str">
        <x:f>IF(B132&lt;&gt;"",B132,"KLA-"&amp;C132&amp;"-"&amp;G132&amp;"-"&amp;H132)</x:f>
        <x:v>KLA-D028-MLT-M</x:v>
      </x:c>
      <x:c r="B132" s="145" t="str"/>
      <x:c r="C132" s="146" t="str">
        <x:v>D028</x:v>
      </x:c>
      <x:c r="D132" s="112" t="str">
        <x:v>Solenne Petal Gown</x:v>
      </x:c>
      <x:c r="E132" s="112" t="str">
        <x:v>Dress</x:v>
      </x:c>
      <x:c r="F132" s="112" t="str">
        <x:v>Multi</x:v>
      </x:c>
      <x:c r="G132" s="146" t="str">
        <x:v>MLT</x:v>
      </x:c>
      <x:c r="H132" s="146" t="str">
        <x:v>M</x:v>
      </x:c>
      <x:c r="I132" s="147" t="n">
        <x:v>82</x:v>
      </x:c>
      <x:c r="J132" s="112" t="str">
        <x:v>US Warehouse</x:v>
      </x:c>
      <x:c r="K132" s="148" t="str"/>
      <x:c r="L132" s="148" t="str"/>
      <x:c r="M132" s="112" t="str">
        <x:v>Published</x:v>
      </x:c>
      <x:c r="N132" s="113" t="str">
        <x:v>https://www.klarelle.store/product/75700d5a-9915-4552-bc92-fecabf79842b</x:v>
      </x:c>
      <x:c r="O132" s="113" t="str">
        <x:v>Assign NJ bin if physically stocked</x:v>
      </x:c>
      <x:c r="P132" s="112" t="str">
        <x:f>A132</x:f>
        <x:v>KLA-D028-MLT-M</x:v>
      </x:c>
      <x:c r="Q132" s="112" t="str">
        <x:f>IF(COUNTIF($A$9:$A$303,A132)&gt;1,"DUPLICATE","OK")</x:f>
        <x:v>OK</x:v>
      </x:c>
    </x:row>
    <x:row r="133" ht="24" customHeight="1">
      <x:c r="A133" s="144" t="str">
        <x:f>IF(B133&lt;&gt;"",B133,"KLA-"&amp;C133&amp;"-"&amp;G133&amp;"-"&amp;H133)</x:f>
        <x:v>KLA-D028-MLT-XL</x:v>
      </x:c>
      <x:c r="B133" s="145" t="str"/>
      <x:c r="C133" s="146" t="str">
        <x:v>D028</x:v>
      </x:c>
      <x:c r="D133" s="112" t="str">
        <x:v>Solenne Petal Gown</x:v>
      </x:c>
      <x:c r="E133" s="112" t="str">
        <x:v>Dress</x:v>
      </x:c>
      <x:c r="F133" s="112" t="str">
        <x:v>Multi</x:v>
      </x:c>
      <x:c r="G133" s="146" t="str">
        <x:v>MLT</x:v>
      </x:c>
      <x:c r="H133" s="146" t="str">
        <x:v>XL</x:v>
      </x:c>
      <x:c r="I133" s="147" t="n">
        <x:v>82</x:v>
      </x:c>
      <x:c r="J133" s="112" t="str">
        <x:v>US Warehouse</x:v>
      </x:c>
      <x:c r="K133" s="148" t="str"/>
      <x:c r="L133" s="148" t="str"/>
      <x:c r="M133" s="112" t="str">
        <x:v>Published</x:v>
      </x:c>
      <x:c r="N133" s="113" t="str">
        <x:v>https://www.klarelle.store/product/75700d5a-9915-4552-bc92-fecabf79842b</x:v>
      </x:c>
      <x:c r="O133" s="113" t="str">
        <x:v>Assign NJ bin if physically stocked</x:v>
      </x:c>
      <x:c r="P133" s="112" t="str">
        <x:f>A133</x:f>
        <x:v>KLA-D028-MLT-XL</x:v>
      </x:c>
      <x:c r="Q133" s="112" t="str">
        <x:f>IF(COUNTIF($A$9:$A$303,A133)&gt;1,"DUPLICATE","OK")</x:f>
        <x:v>OK</x:v>
      </x:c>
    </x:row>
    <x:row r="134" ht="24" customHeight="1">
      <x:c r="A134" s="144" t="str">
        <x:f>IF(B134&lt;&gt;"",B134,"KLA-"&amp;C134&amp;"-"&amp;G134&amp;"-"&amp;H134)</x:f>
        <x:v>KLA-D029-BLK-L</x:v>
      </x:c>
      <x:c r="B134" s="145" t="str"/>
      <x:c r="C134" s="146" t="str">
        <x:v>D029</x:v>
      </x:c>
      <x:c r="D134" s="112" t="str">
        <x:v>Elaris Mini Crystal Gown</x:v>
      </x:c>
      <x:c r="E134" s="112" t="str">
        <x:v>Dress</x:v>
      </x:c>
      <x:c r="F134" s="112" t="str">
        <x:v>Black</x:v>
      </x:c>
      <x:c r="G134" s="146" t="str">
        <x:v>BLK</x:v>
      </x:c>
      <x:c r="H134" s="146" t="str">
        <x:v>L</x:v>
      </x:c>
      <x:c r="I134" s="147" t="n">
        <x:v>89</x:v>
      </x:c>
      <x:c r="J134" s="112" t="str">
        <x:v>International Warehouse</x:v>
      </x:c>
      <x:c r="K134" s="148" t="str"/>
      <x:c r="L134" s="148" t="str"/>
      <x:c r="M134" s="112" t="str">
        <x:v>Published</x:v>
      </x:c>
      <x:c r="N134" s="113" t="str">
        <x:v>https://www.klarelle.store/product/0c344176-2b62-429d-ba1f-6fa08f86a4d6</x:v>
      </x:c>
      <x:c r="O134" s="113" t="str">
        <x:v>Supplier-held inventory; no NJ bin unless transferred</x:v>
      </x:c>
      <x:c r="P134" s="112" t="str">
        <x:f>A134</x:f>
        <x:v>KLA-D029-BLK-L</x:v>
      </x:c>
      <x:c r="Q134" s="112" t="str">
        <x:f>IF(COUNTIF($A$9:$A$303,A134)&gt;1,"DUPLICATE","OK")</x:f>
        <x:v>OK</x:v>
      </x:c>
    </x:row>
    <x:row r="135" ht="24" customHeight="1">
      <x:c r="A135" s="144" t="str">
        <x:f>IF(B135&lt;&gt;"",B135,"KLA-"&amp;C135&amp;"-"&amp;G135&amp;"-"&amp;H135)</x:f>
        <x:v>KLA-D029-BLK-M</x:v>
      </x:c>
      <x:c r="B135" s="145" t="str"/>
      <x:c r="C135" s="146" t="str">
        <x:v>D029</x:v>
      </x:c>
      <x:c r="D135" s="112" t="str">
        <x:v>Elaris Mini Crystal Gown</x:v>
      </x:c>
      <x:c r="E135" s="112" t="str">
        <x:v>Dress</x:v>
      </x:c>
      <x:c r="F135" s="112" t="str">
        <x:v>Black</x:v>
      </x:c>
      <x:c r="G135" s="146" t="str">
        <x:v>BLK</x:v>
      </x:c>
      <x:c r="H135" s="146" t="str">
        <x:v>M</x:v>
      </x:c>
      <x:c r="I135" s="147" t="n">
        <x:v>89</x:v>
      </x:c>
      <x:c r="J135" s="112" t="str">
        <x:v>International Warehouse</x:v>
      </x:c>
      <x:c r="K135" s="148" t="str"/>
      <x:c r="L135" s="148" t="str"/>
      <x:c r="M135" s="112" t="str">
        <x:v>Published</x:v>
      </x:c>
      <x:c r="N135" s="113" t="str">
        <x:v>https://www.klarelle.store/product/0c344176-2b62-429d-ba1f-6fa08f86a4d6</x:v>
      </x:c>
      <x:c r="O135" s="113" t="str">
        <x:v>Supplier-held inventory; no NJ bin unless transferred</x:v>
      </x:c>
      <x:c r="P135" s="112" t="str">
        <x:f>A135</x:f>
        <x:v>KLA-D029-BLK-M</x:v>
      </x:c>
      <x:c r="Q135" s="112" t="str">
        <x:f>IF(COUNTIF($A$9:$A$303,A135)&gt;1,"DUPLICATE","OK")</x:f>
        <x:v>OK</x:v>
      </x:c>
    </x:row>
    <x:row r="136" ht="24" customHeight="1">
      <x:c r="A136" s="144" t="str">
        <x:f>IF(B136&lt;&gt;"",B136,"KLA-"&amp;C136&amp;"-"&amp;G136&amp;"-"&amp;H136)</x:f>
        <x:v>KLA-D029-BLK-S</x:v>
      </x:c>
      <x:c r="B136" s="145" t="str"/>
      <x:c r="C136" s="146" t="str">
        <x:v>D029</x:v>
      </x:c>
      <x:c r="D136" s="112" t="str">
        <x:v>Elaris Mini Crystal Gown</x:v>
      </x:c>
      <x:c r="E136" s="112" t="str">
        <x:v>Dress</x:v>
      </x:c>
      <x:c r="F136" s="112" t="str">
        <x:v>Black</x:v>
      </x:c>
      <x:c r="G136" s="146" t="str">
        <x:v>BLK</x:v>
      </x:c>
      <x:c r="H136" s="146" t="str">
        <x:v>S</x:v>
      </x:c>
      <x:c r="I136" s="147" t="n">
        <x:v>89</x:v>
      </x:c>
      <x:c r="J136" s="112" t="str">
        <x:v>International Warehouse</x:v>
      </x:c>
      <x:c r="K136" s="148" t="str"/>
      <x:c r="L136" s="148" t="str"/>
      <x:c r="M136" s="112" t="str">
        <x:v>Published</x:v>
      </x:c>
      <x:c r="N136" s="113" t="str">
        <x:v>https://www.klarelle.store/product/0c344176-2b62-429d-ba1f-6fa08f86a4d6</x:v>
      </x:c>
      <x:c r="O136" s="113" t="str">
        <x:v>Supplier-held inventory; no NJ bin unless transferred</x:v>
      </x:c>
      <x:c r="P136" s="112" t="str">
        <x:f>A136</x:f>
        <x:v>KLA-D029-BLK-S</x:v>
      </x:c>
      <x:c r="Q136" s="112" t="str">
        <x:f>IF(COUNTIF($A$9:$A$303,A136)&gt;1,"DUPLICATE","OK")</x:f>
        <x:v>OK</x:v>
      </x:c>
    </x:row>
    <x:row r="137" ht="24" customHeight="1">
      <x:c r="A137" s="144" t="str">
        <x:f>IF(B137&lt;&gt;"",B137,"KLA-"&amp;C137&amp;"-"&amp;G137&amp;"-"&amp;H137)</x:f>
        <x:v>KLA-D029-BLK-XL</x:v>
      </x:c>
      <x:c r="B137" s="145" t="str"/>
      <x:c r="C137" s="146" t="str">
        <x:v>D029</x:v>
      </x:c>
      <x:c r="D137" s="112" t="str">
        <x:v>Elaris Mini Crystal Gown</x:v>
      </x:c>
      <x:c r="E137" s="112" t="str">
        <x:v>Dress</x:v>
      </x:c>
      <x:c r="F137" s="112" t="str">
        <x:v>Black</x:v>
      </x:c>
      <x:c r="G137" s="146" t="str">
        <x:v>BLK</x:v>
      </x:c>
      <x:c r="H137" s="146" t="str">
        <x:v>XL</x:v>
      </x:c>
      <x:c r="I137" s="147" t="n">
        <x:v>89</x:v>
      </x:c>
      <x:c r="J137" s="112" t="str">
        <x:v>International Warehouse</x:v>
      </x:c>
      <x:c r="K137" s="148" t="str"/>
      <x:c r="L137" s="148" t="str"/>
      <x:c r="M137" s="112" t="str">
        <x:v>Published</x:v>
      </x:c>
      <x:c r="N137" s="113" t="str">
        <x:v>https://www.klarelle.store/product/0c344176-2b62-429d-ba1f-6fa08f86a4d6</x:v>
      </x:c>
      <x:c r="O137" s="113" t="str">
        <x:v>Supplier-held inventory; no NJ bin unless transferred</x:v>
      </x:c>
      <x:c r="P137" s="112" t="str">
        <x:f>A137</x:f>
        <x:v>KLA-D029-BLK-XL</x:v>
      </x:c>
      <x:c r="Q137" s="112" t="str">
        <x:f>IF(COUNTIF($A$9:$A$303,A137)&gt;1,"DUPLICATE","OK")</x:f>
        <x:v>OK</x:v>
      </x:c>
    </x:row>
    <x:row r="138" ht="24" customHeight="1">
      <x:c r="A138" s="144" t="str">
        <x:f>IF(B138&lt;&gt;"",B138,"KLA-"&amp;C138&amp;"-"&amp;G138&amp;"-"&amp;H138)</x:f>
        <x:v>KLA-D030-BWT-L</x:v>
      </x:c>
      <x:c r="B138" s="145" t="str"/>
      <x:c r="C138" s="146" t="str">
        <x:v>D030</x:v>
      </x:c>
      <x:c r="D138" s="112" t="str">
        <x:v>Zavielle Luxe Gown</x:v>
      </x:c>
      <x:c r="E138" s="112" t="str">
        <x:v>Dress</x:v>
      </x:c>
      <x:c r="F138" s="112" t="str">
        <x:v>Black And White</x:v>
      </x:c>
      <x:c r="G138" s="146" t="str">
        <x:v>BWT</x:v>
      </x:c>
      <x:c r="H138" s="146" t="str">
        <x:v>L</x:v>
      </x:c>
      <x:c r="I138" s="147" t="n">
        <x:v>189</x:v>
      </x:c>
      <x:c r="J138" s="112" t="str">
        <x:v>International Warehouse</x:v>
      </x:c>
      <x:c r="K138" s="148" t="str"/>
      <x:c r="L138" s="148" t="str"/>
      <x:c r="M138" s="112" t="str">
        <x:v>Published</x:v>
      </x:c>
      <x:c r="N138" s="113" t="str">
        <x:v>https://www.klarelle.store/product/8112ca17-b150-40af-9b40-80d3b25b9f49</x:v>
      </x:c>
      <x:c r="O138" s="113" t="str">
        <x:v>Supplier-held inventory; no NJ bin unless transferred</x:v>
      </x:c>
      <x:c r="P138" s="112" t="str">
        <x:f>A138</x:f>
        <x:v>KLA-D030-BWT-L</x:v>
      </x:c>
      <x:c r="Q138" s="112" t="str">
        <x:f>IF(COUNTIF($A$9:$A$303,A138)&gt;1,"DUPLICATE","OK")</x:f>
        <x:v>OK</x:v>
      </x:c>
    </x:row>
    <x:row r="139" ht="24" customHeight="1">
      <x:c r="A139" s="144" t="str">
        <x:f>IF(B139&lt;&gt;"",B139,"KLA-"&amp;C139&amp;"-"&amp;G139&amp;"-"&amp;H139)</x:f>
        <x:v>KLA-D030-BWT-M</x:v>
      </x:c>
      <x:c r="B139" s="145" t="str"/>
      <x:c r="C139" s="146" t="str">
        <x:v>D030</x:v>
      </x:c>
      <x:c r="D139" s="112" t="str">
        <x:v>Zavielle Luxe Gown</x:v>
      </x:c>
      <x:c r="E139" s="112" t="str">
        <x:v>Dress</x:v>
      </x:c>
      <x:c r="F139" s="112" t="str">
        <x:v>Black And White</x:v>
      </x:c>
      <x:c r="G139" s="146" t="str">
        <x:v>BWT</x:v>
      </x:c>
      <x:c r="H139" s="146" t="str">
        <x:v>M</x:v>
      </x:c>
      <x:c r="I139" s="147" t="n">
        <x:v>189</x:v>
      </x:c>
      <x:c r="J139" s="112" t="str">
        <x:v>International Warehouse</x:v>
      </x:c>
      <x:c r="K139" s="148" t="str"/>
      <x:c r="L139" s="148" t="str"/>
      <x:c r="M139" s="112" t="str">
        <x:v>Published</x:v>
      </x:c>
      <x:c r="N139" s="113" t="str">
        <x:v>https://www.klarelle.store/product/8112ca17-b150-40af-9b40-80d3b25b9f49</x:v>
      </x:c>
      <x:c r="O139" s="113" t="str">
        <x:v>Supplier-held inventory; no NJ bin unless transferred</x:v>
      </x:c>
      <x:c r="P139" s="112" t="str">
        <x:f>A139</x:f>
        <x:v>KLA-D030-BWT-M</x:v>
      </x:c>
      <x:c r="Q139" s="112" t="str">
        <x:f>IF(COUNTIF($A$9:$A$303,A139)&gt;1,"DUPLICATE","OK")</x:f>
        <x:v>OK</x:v>
      </x:c>
    </x:row>
    <x:row r="140" ht="24" customHeight="1">
      <x:c r="A140" s="144" t="str">
        <x:f>IF(B140&lt;&gt;"",B140,"KLA-"&amp;C140&amp;"-"&amp;G140&amp;"-"&amp;H140)</x:f>
        <x:v>KLA-D030-BWT-XL</x:v>
      </x:c>
      <x:c r="B140" s="145" t="str"/>
      <x:c r="C140" s="146" t="str">
        <x:v>D030</x:v>
      </x:c>
      <x:c r="D140" s="112" t="str">
        <x:v>Zavielle Luxe Gown</x:v>
      </x:c>
      <x:c r="E140" s="112" t="str">
        <x:v>Dress</x:v>
      </x:c>
      <x:c r="F140" s="112" t="str">
        <x:v>Black And White</x:v>
      </x:c>
      <x:c r="G140" s="146" t="str">
        <x:v>BWT</x:v>
      </x:c>
      <x:c r="H140" s="146" t="str">
        <x:v>XL</x:v>
      </x:c>
      <x:c r="I140" s="147" t="n">
        <x:v>189</x:v>
      </x:c>
      <x:c r="J140" s="112" t="str">
        <x:v>International Warehouse</x:v>
      </x:c>
      <x:c r="K140" s="148" t="str"/>
      <x:c r="L140" s="148" t="str"/>
      <x:c r="M140" s="112" t="str">
        <x:v>Published</x:v>
      </x:c>
      <x:c r="N140" s="113" t="str">
        <x:v>https://www.klarelle.store/product/8112ca17-b150-40af-9b40-80d3b25b9f49</x:v>
      </x:c>
      <x:c r="O140" s="113" t="str">
        <x:v>Supplier-held inventory; no NJ bin unless transferred</x:v>
      </x:c>
      <x:c r="P140" s="112" t="str">
        <x:f>A140</x:f>
        <x:v>KLA-D030-BWT-XL</x:v>
      </x:c>
      <x:c r="Q140" s="112" t="str">
        <x:f>IF(COUNTIF($A$9:$A$303,A140)&gt;1,"DUPLICATE","OK")</x:f>
        <x:v>OK</x:v>
      </x:c>
    </x:row>
    <x:row r="141" ht="24" customHeight="1">
      <x:c r="A141" s="144" t="str">
        <x:f>IF(B141&lt;&gt;"",B141,"KLA-"&amp;C141&amp;"-"&amp;G141&amp;"-"&amp;H141)</x:f>
        <x:v>KLA-D031-BLK-OS</x:v>
      </x:c>
      <x:c r="B141" s="145" t="str"/>
      <x:c r="C141" s="146" t="str">
        <x:v>D031</x:v>
      </x:c>
      <x:c r="D141" s="112" t="str">
        <x:v>Éloria Noir Gown</x:v>
      </x:c>
      <x:c r="E141" s="112" t="str">
        <x:v>Dress</x:v>
      </x:c>
      <x:c r="F141" s="112" t="str">
        <x:v>Black</x:v>
      </x:c>
      <x:c r="G141" s="146" t="str">
        <x:v>BLK</x:v>
      </x:c>
      <x:c r="H141" s="146" t="str">
        <x:v>OS</x:v>
      </x:c>
      <x:c r="I141" s="147" t="n">
        <x:v>189</x:v>
      </x:c>
      <x:c r="J141" s="112" t="str">
        <x:v>US Warehouse</x:v>
      </x:c>
      <x:c r="K141" s="148" t="str"/>
      <x:c r="L141" s="148" t="str"/>
      <x:c r="M141" s="112" t="str">
        <x:v>Published</x:v>
      </x:c>
      <x:c r="N141" s="113" t="str">
        <x:v>https://www.klarelle.store/product/3e788514-5177-420b-8409-05681f538e4f</x:v>
      </x:c>
      <x:c r="O141" s="113" t="str">
        <x:v>Assign NJ bin if physically stocked</x:v>
      </x:c>
      <x:c r="P141" s="112" t="str">
        <x:f>A141</x:f>
        <x:v>KLA-D031-BLK-OS</x:v>
      </x:c>
      <x:c r="Q141" s="112" t="str">
        <x:f>IF(COUNTIF($A$9:$A$303,A141)&gt;1,"DUPLICATE","OK")</x:f>
        <x:v>OK</x:v>
      </x:c>
    </x:row>
    <x:row r="142" ht="24" customHeight="1">
      <x:c r="A142" s="144" t="str">
        <x:f>IF(B142&lt;&gt;"",B142,"KLA-"&amp;C142&amp;"-"&amp;G142&amp;"-"&amp;H142)</x:f>
        <x:v>KLA-D032-BLK-L</x:v>
      </x:c>
      <x:c r="B142" s="145" t="str"/>
      <x:c r="C142" s="146" t="str">
        <x:v>D032</x:v>
      </x:c>
      <x:c r="D142" s="112" t="str">
        <x:v>Veloura Noir Gown</x:v>
      </x:c>
      <x:c r="E142" s="112" t="str">
        <x:v>Dress</x:v>
      </x:c>
      <x:c r="F142" s="112" t="str">
        <x:v>Black</x:v>
      </x:c>
      <x:c r="G142" s="146" t="str">
        <x:v>BLK</x:v>
      </x:c>
      <x:c r="H142" s="146" t="str">
        <x:v>L</x:v>
      </x:c>
      <x:c r="I142" s="147" t="n">
        <x:v>99</x:v>
      </x:c>
      <x:c r="J142" s="112" t="str">
        <x:v>US Warehouse</x:v>
      </x:c>
      <x:c r="K142" s="148" t="str"/>
      <x:c r="L142" s="148" t="str"/>
      <x:c r="M142" s="112" t="str">
        <x:v>Published</x:v>
      </x:c>
      <x:c r="N142" s="113" t="str">
        <x:v>https://www.klarelle.store/product/02313c24-5278-4e67-9b9c-8472db80403d</x:v>
      </x:c>
      <x:c r="O142" s="113" t="str">
        <x:v>Assign NJ bin if physically stocked</x:v>
      </x:c>
      <x:c r="P142" s="112" t="str">
        <x:f>A142</x:f>
        <x:v>KLA-D032-BLK-L</x:v>
      </x:c>
      <x:c r="Q142" s="112" t="str">
        <x:f>IF(COUNTIF($A$9:$A$303,A142)&gt;1,"DUPLICATE","OK")</x:f>
        <x:v>OK</x:v>
      </x:c>
    </x:row>
    <x:row r="143" ht="24" customHeight="1">
      <x:c r="A143" s="144" t="str">
        <x:f>IF(B143&lt;&gt;"",B143,"KLA-"&amp;C143&amp;"-"&amp;G143&amp;"-"&amp;H143)</x:f>
        <x:v>KLA-D032-BLK-M</x:v>
      </x:c>
      <x:c r="B143" s="145" t="str"/>
      <x:c r="C143" s="146" t="str">
        <x:v>D032</x:v>
      </x:c>
      <x:c r="D143" s="112" t="str">
        <x:v>Veloura Noir Gown</x:v>
      </x:c>
      <x:c r="E143" s="112" t="str">
        <x:v>Dress</x:v>
      </x:c>
      <x:c r="F143" s="112" t="str">
        <x:v>Black</x:v>
      </x:c>
      <x:c r="G143" s="146" t="str">
        <x:v>BLK</x:v>
      </x:c>
      <x:c r="H143" s="146" t="str">
        <x:v>M</x:v>
      </x:c>
      <x:c r="I143" s="147" t="n">
        <x:v>99</x:v>
      </x:c>
      <x:c r="J143" s="112" t="str">
        <x:v>US Warehouse</x:v>
      </x:c>
      <x:c r="K143" s="148" t="str"/>
      <x:c r="L143" s="148" t="str"/>
      <x:c r="M143" s="112" t="str">
        <x:v>Published</x:v>
      </x:c>
      <x:c r="N143" s="113" t="str">
        <x:v>https://www.klarelle.store/product/02313c24-5278-4e67-9b9c-8472db80403d</x:v>
      </x:c>
      <x:c r="O143" s="113" t="str">
        <x:v>Assign NJ bin if physically stocked</x:v>
      </x:c>
      <x:c r="P143" s="112" t="str">
        <x:f>A143</x:f>
        <x:v>KLA-D032-BLK-M</x:v>
      </x:c>
      <x:c r="Q143" s="112" t="str">
        <x:f>IF(COUNTIF($A$9:$A$303,A143)&gt;1,"DUPLICATE","OK")</x:f>
        <x:v>OK</x:v>
      </x:c>
    </x:row>
    <x:row r="144" ht="24" customHeight="1">
      <x:c r="A144" s="144" t="str">
        <x:f>IF(B144&lt;&gt;"",B144,"KLA-"&amp;C144&amp;"-"&amp;G144&amp;"-"&amp;H144)</x:f>
        <x:v>KLA-D032-BLK-S</x:v>
      </x:c>
      <x:c r="B144" s="145" t="str"/>
      <x:c r="C144" s="146" t="str">
        <x:v>D032</x:v>
      </x:c>
      <x:c r="D144" s="112" t="str">
        <x:v>Veloura Noir Gown</x:v>
      </x:c>
      <x:c r="E144" s="112" t="str">
        <x:v>Dress</x:v>
      </x:c>
      <x:c r="F144" s="112" t="str">
        <x:v>Black</x:v>
      </x:c>
      <x:c r="G144" s="146" t="str">
        <x:v>BLK</x:v>
      </x:c>
      <x:c r="H144" s="146" t="str">
        <x:v>S</x:v>
      </x:c>
      <x:c r="I144" s="147" t="n">
        <x:v>99</x:v>
      </x:c>
      <x:c r="J144" s="112" t="str">
        <x:v>US Warehouse</x:v>
      </x:c>
      <x:c r="K144" s="148" t="str"/>
      <x:c r="L144" s="148" t="str"/>
      <x:c r="M144" s="112" t="str">
        <x:v>Published</x:v>
      </x:c>
      <x:c r="N144" s="113" t="str">
        <x:v>https://www.klarelle.store/product/02313c24-5278-4e67-9b9c-8472db80403d</x:v>
      </x:c>
      <x:c r="O144" s="113" t="str">
        <x:v>Assign NJ bin if physically stocked</x:v>
      </x:c>
      <x:c r="P144" s="112" t="str">
        <x:f>A144</x:f>
        <x:v>KLA-D032-BLK-S</x:v>
      </x:c>
      <x:c r="Q144" s="112" t="str">
        <x:f>IF(COUNTIF($A$9:$A$303,A144)&gt;1,"DUPLICATE","OK")</x:f>
        <x:v>OK</x:v>
      </x:c>
    </x:row>
    <x:row r="145" ht="24" customHeight="1">
      <x:c r="A145" s="144" t="str">
        <x:f>IF(B145&lt;&gt;"",B145,"KLA-"&amp;C145&amp;"-"&amp;G145&amp;"-"&amp;H145)</x:f>
        <x:v>KLA-D033-PNK-L</x:v>
      </x:c>
      <x:c r="B145" s="145" t="str"/>
      <x:c r="C145" s="146" t="str">
        <x:v>D033</x:v>
      </x:c>
      <x:c r="D145" s="112" t="str">
        <x:v>Fleur de Roselle Dress</x:v>
      </x:c>
      <x:c r="E145" s="112" t="str">
        <x:v>Dress</x:v>
      </x:c>
      <x:c r="F145" s="112" t="str">
        <x:v>Pink</x:v>
      </x:c>
      <x:c r="G145" s="146" t="str">
        <x:v>PNK</x:v>
      </x:c>
      <x:c r="H145" s="146" t="str">
        <x:v>L</x:v>
      </x:c>
      <x:c r="I145" s="147" t="n">
        <x:v>189</x:v>
      </x:c>
      <x:c r="J145" s="112" t="str">
        <x:v>International Warehouse</x:v>
      </x:c>
      <x:c r="K145" s="148" t="str"/>
      <x:c r="L145" s="148" t="str"/>
      <x:c r="M145" s="112" t="str">
        <x:v>Published</x:v>
      </x:c>
      <x:c r="N145" s="113" t="str">
        <x:v>https://www.klarelle.store/product/c3aea17a-e59b-4084-9b45-e934e99582ad</x:v>
      </x:c>
      <x:c r="O145" s="113" t="str">
        <x:v>Supplier-held inventory; no NJ bin unless transferred</x:v>
      </x:c>
      <x:c r="P145" s="112" t="str">
        <x:f>A145</x:f>
        <x:v>KLA-D033-PNK-L</x:v>
      </x:c>
      <x:c r="Q145" s="112" t="str">
        <x:f>IF(COUNTIF($A$9:$A$303,A145)&gt;1,"DUPLICATE","OK")</x:f>
        <x:v>OK</x:v>
      </x:c>
    </x:row>
    <x:row r="146" ht="24" customHeight="1">
      <x:c r="A146" s="144" t="str">
        <x:f>IF(B146&lt;&gt;"",B146,"KLA-"&amp;C146&amp;"-"&amp;G146&amp;"-"&amp;H146)</x:f>
        <x:v>KLA-D033-PNK-M</x:v>
      </x:c>
      <x:c r="B146" s="145" t="str"/>
      <x:c r="C146" s="146" t="str">
        <x:v>D033</x:v>
      </x:c>
      <x:c r="D146" s="112" t="str">
        <x:v>Fleur de Roselle Dress</x:v>
      </x:c>
      <x:c r="E146" s="112" t="str">
        <x:v>Dress</x:v>
      </x:c>
      <x:c r="F146" s="112" t="str">
        <x:v>Pink</x:v>
      </x:c>
      <x:c r="G146" s="146" t="str">
        <x:v>PNK</x:v>
      </x:c>
      <x:c r="H146" s="146" t="str">
        <x:v>M</x:v>
      </x:c>
      <x:c r="I146" s="147" t="n">
        <x:v>189</x:v>
      </x:c>
      <x:c r="J146" s="112" t="str">
        <x:v>International Warehouse</x:v>
      </x:c>
      <x:c r="K146" s="148" t="str"/>
      <x:c r="L146" s="148" t="str"/>
      <x:c r="M146" s="112" t="str">
        <x:v>Published</x:v>
      </x:c>
      <x:c r="N146" s="113" t="str">
        <x:v>https://www.klarelle.store/product/c3aea17a-e59b-4084-9b45-e934e99582ad</x:v>
      </x:c>
      <x:c r="O146" s="113" t="str">
        <x:v>Supplier-held inventory; no NJ bin unless transferred</x:v>
      </x:c>
      <x:c r="P146" s="112" t="str">
        <x:f>A146</x:f>
        <x:v>KLA-D033-PNK-M</x:v>
      </x:c>
      <x:c r="Q146" s="112" t="str">
        <x:f>IF(COUNTIF($A$9:$A$303,A146)&gt;1,"DUPLICATE","OK")</x:f>
        <x:v>OK</x:v>
      </x:c>
    </x:row>
    <x:row r="147" ht="24" customHeight="1">
      <x:c r="A147" s="144" t="str">
        <x:f>IF(B147&lt;&gt;"",B147,"KLA-"&amp;C147&amp;"-"&amp;G147&amp;"-"&amp;H147)</x:f>
        <x:v>KLA-D033-PNK-S</x:v>
      </x:c>
      <x:c r="B147" s="145" t="str"/>
      <x:c r="C147" s="146" t="str">
        <x:v>D033</x:v>
      </x:c>
      <x:c r="D147" s="112" t="str">
        <x:v>Fleur de Roselle Dress</x:v>
      </x:c>
      <x:c r="E147" s="112" t="str">
        <x:v>Dress</x:v>
      </x:c>
      <x:c r="F147" s="112" t="str">
        <x:v>Pink</x:v>
      </x:c>
      <x:c r="G147" s="146" t="str">
        <x:v>PNK</x:v>
      </x:c>
      <x:c r="H147" s="146" t="str">
        <x:v>S</x:v>
      </x:c>
      <x:c r="I147" s="147" t="n">
        <x:v>189</x:v>
      </x:c>
      <x:c r="J147" s="112" t="str">
        <x:v>International Warehouse</x:v>
      </x:c>
      <x:c r="K147" s="148" t="str"/>
      <x:c r="L147" s="148" t="str"/>
      <x:c r="M147" s="112" t="str">
        <x:v>Published</x:v>
      </x:c>
      <x:c r="N147" s="113" t="str">
        <x:v>https://www.klarelle.store/product/c3aea17a-e59b-4084-9b45-e934e99582ad</x:v>
      </x:c>
      <x:c r="O147" s="113" t="str">
        <x:v>Supplier-held inventory; no NJ bin unless transferred</x:v>
      </x:c>
      <x:c r="P147" s="112" t="str">
        <x:f>A147</x:f>
        <x:v>KLA-D033-PNK-S</x:v>
      </x:c>
      <x:c r="Q147" s="112" t="str">
        <x:f>IF(COUNTIF($A$9:$A$303,A147)&gt;1,"DUPLICATE","OK")</x:f>
        <x:v>OK</x:v>
      </x:c>
    </x:row>
    <x:row r="148" ht="24" customHeight="1">
      <x:c r="A148" s="144" t="str">
        <x:f>IF(B148&lt;&gt;"",B148,"KLA-"&amp;C148&amp;"-"&amp;G148&amp;"-"&amp;H148)</x:f>
        <x:v>KLA-D033-PNK-XL</x:v>
      </x:c>
      <x:c r="B148" s="145" t="str"/>
      <x:c r="C148" s="146" t="str">
        <x:v>D033</x:v>
      </x:c>
      <x:c r="D148" s="112" t="str">
        <x:v>Fleur de Roselle Dress</x:v>
      </x:c>
      <x:c r="E148" s="112" t="str">
        <x:v>Dress</x:v>
      </x:c>
      <x:c r="F148" s="112" t="str">
        <x:v>Pink</x:v>
      </x:c>
      <x:c r="G148" s="146" t="str">
        <x:v>PNK</x:v>
      </x:c>
      <x:c r="H148" s="146" t="str">
        <x:v>XL</x:v>
      </x:c>
      <x:c r="I148" s="147" t="n">
        <x:v>189</x:v>
      </x:c>
      <x:c r="J148" s="112" t="str">
        <x:v>International Warehouse</x:v>
      </x:c>
      <x:c r="K148" s="148" t="str"/>
      <x:c r="L148" s="148" t="str"/>
      <x:c r="M148" s="112" t="str">
        <x:v>Published</x:v>
      </x:c>
      <x:c r="N148" s="113" t="str">
        <x:v>https://www.klarelle.store/product/c3aea17a-e59b-4084-9b45-e934e99582ad</x:v>
      </x:c>
      <x:c r="O148" s="113" t="str">
        <x:v>Supplier-held inventory; no NJ bin unless transferred</x:v>
      </x:c>
      <x:c r="P148" s="112" t="str">
        <x:f>A148</x:f>
        <x:v>KLA-D033-PNK-XL</x:v>
      </x:c>
      <x:c r="Q148" s="112" t="str">
        <x:f>IF(COUNTIF($A$9:$A$303,A148)&gt;1,"DUPLICATE","OK")</x:f>
        <x:v>OK</x:v>
      </x:c>
    </x:row>
    <x:row r="149" ht="24" customHeight="1">
      <x:c r="A149" s="144" t="str">
        <x:f>IF(B149&lt;&gt;"",B149,"KLA-"&amp;C149&amp;"-"&amp;G149&amp;"-"&amp;H149)</x:f>
        <x:v>KLA-D034-BLU-L</x:v>
      </x:c>
      <x:c r="B149" s="145" t="str"/>
      <x:c r="C149" s="146" t="str">
        <x:v>D034</x:v>
      </x:c>
      <x:c r="D149" s="112" t="str">
        <x:v>Zaina Cascade Gown</x:v>
      </x:c>
      <x:c r="E149" s="112" t="str">
        <x:v>Dress</x:v>
      </x:c>
      <x:c r="F149" s="112" t="str">
        <x:v>Blue</x:v>
      </x:c>
      <x:c r="G149" s="146" t="str">
        <x:v>BLU</x:v>
      </x:c>
      <x:c r="H149" s="146" t="str">
        <x:v>L</x:v>
      </x:c>
      <x:c r="I149" s="147" t="n">
        <x:v>159</x:v>
      </x:c>
      <x:c r="J149" s="112" t="str">
        <x:v>International Warehouse</x:v>
      </x:c>
      <x:c r="K149" s="148" t="str"/>
      <x:c r="L149" s="148" t="str"/>
      <x:c r="M149" s="112" t="str">
        <x:v>Published</x:v>
      </x:c>
      <x:c r="N149" s="113" t="str">
        <x:v>https://www.klarelle.store/product/3b769fb4-092a-40ef-bbe3-48dce2ae16f4</x:v>
      </x:c>
      <x:c r="O149" s="113" t="str">
        <x:v>Supplier-held inventory; no NJ bin unless transferred</x:v>
      </x:c>
      <x:c r="P149" s="112" t="str">
        <x:f>A149</x:f>
        <x:v>KLA-D034-BLU-L</x:v>
      </x:c>
      <x:c r="Q149" s="112" t="str">
        <x:f>IF(COUNTIF($A$9:$A$303,A149)&gt;1,"DUPLICATE","OK")</x:f>
        <x:v>OK</x:v>
      </x:c>
    </x:row>
    <x:row r="150" ht="24" customHeight="1">
      <x:c r="A150" s="144" t="str">
        <x:f>IF(B150&lt;&gt;"",B150,"KLA-"&amp;C150&amp;"-"&amp;G150&amp;"-"&amp;H150)</x:f>
        <x:v>KLA-D034-BLU-M</x:v>
      </x:c>
      <x:c r="B150" s="145" t="str"/>
      <x:c r="C150" s="146" t="str">
        <x:v>D034</x:v>
      </x:c>
      <x:c r="D150" s="112" t="str">
        <x:v>Zaina Cascade Gown</x:v>
      </x:c>
      <x:c r="E150" s="112" t="str">
        <x:v>Dress</x:v>
      </x:c>
      <x:c r="F150" s="112" t="str">
        <x:v>Blue</x:v>
      </x:c>
      <x:c r="G150" s="146" t="str">
        <x:v>BLU</x:v>
      </x:c>
      <x:c r="H150" s="146" t="str">
        <x:v>M</x:v>
      </x:c>
      <x:c r="I150" s="147" t="n">
        <x:v>159</x:v>
      </x:c>
      <x:c r="J150" s="112" t="str">
        <x:v>International Warehouse</x:v>
      </x:c>
      <x:c r="K150" s="148" t="str"/>
      <x:c r="L150" s="148" t="str"/>
      <x:c r="M150" s="112" t="str">
        <x:v>Published</x:v>
      </x:c>
      <x:c r="N150" s="113" t="str">
        <x:v>https://www.klarelle.store/product/3b769fb4-092a-40ef-bbe3-48dce2ae16f4</x:v>
      </x:c>
      <x:c r="O150" s="113" t="str">
        <x:v>Supplier-held inventory; no NJ bin unless transferred</x:v>
      </x:c>
      <x:c r="P150" s="112" t="str">
        <x:f>A150</x:f>
        <x:v>KLA-D034-BLU-M</x:v>
      </x:c>
      <x:c r="Q150" s="112" t="str">
        <x:f>IF(COUNTIF($A$9:$A$303,A150)&gt;1,"DUPLICATE","OK")</x:f>
        <x:v>OK</x:v>
      </x:c>
    </x:row>
    <x:row r="151" ht="24" customHeight="1">
      <x:c r="A151" s="144" t="str">
        <x:f>IF(B151&lt;&gt;"",B151,"KLA-"&amp;C151&amp;"-"&amp;G151&amp;"-"&amp;H151)</x:f>
        <x:v>KLA-D034-BLU-S</x:v>
      </x:c>
      <x:c r="B151" s="145" t="str"/>
      <x:c r="C151" s="146" t="str">
        <x:v>D034</x:v>
      </x:c>
      <x:c r="D151" s="112" t="str">
        <x:v>Zaina Cascade Gown</x:v>
      </x:c>
      <x:c r="E151" s="112" t="str">
        <x:v>Dress</x:v>
      </x:c>
      <x:c r="F151" s="112" t="str">
        <x:v>Blue</x:v>
      </x:c>
      <x:c r="G151" s="146" t="str">
        <x:v>BLU</x:v>
      </x:c>
      <x:c r="H151" s="146" t="str">
        <x:v>S</x:v>
      </x:c>
      <x:c r="I151" s="147" t="n">
        <x:v>159</x:v>
      </x:c>
      <x:c r="J151" s="112" t="str">
        <x:v>International Warehouse</x:v>
      </x:c>
      <x:c r="K151" s="148" t="str"/>
      <x:c r="L151" s="148" t="str"/>
      <x:c r="M151" s="112" t="str">
        <x:v>Published</x:v>
      </x:c>
      <x:c r="N151" s="113" t="str">
        <x:v>https://www.klarelle.store/product/3b769fb4-092a-40ef-bbe3-48dce2ae16f4</x:v>
      </x:c>
      <x:c r="O151" s="113" t="str">
        <x:v>Supplier-held inventory; no NJ bin unless transferred</x:v>
      </x:c>
      <x:c r="P151" s="112" t="str">
        <x:f>A151</x:f>
        <x:v>KLA-D034-BLU-S</x:v>
      </x:c>
      <x:c r="Q151" s="112" t="str">
        <x:f>IF(COUNTIF($A$9:$A$303,A151)&gt;1,"DUPLICATE","OK")</x:f>
        <x:v>OK</x:v>
      </x:c>
    </x:row>
    <x:row r="152" ht="24" customHeight="1">
      <x:c r="A152" s="144" t="str">
        <x:f>IF(B152&lt;&gt;"",B152,"KLA-"&amp;C152&amp;"-"&amp;G152&amp;"-"&amp;H152)</x:f>
        <x:v>KLA-D034-BLU-XL</x:v>
      </x:c>
      <x:c r="B152" s="145" t="str"/>
      <x:c r="C152" s="146" t="str">
        <x:v>D034</x:v>
      </x:c>
      <x:c r="D152" s="112" t="str">
        <x:v>Zaina Cascade Gown</x:v>
      </x:c>
      <x:c r="E152" s="112" t="str">
        <x:v>Dress</x:v>
      </x:c>
      <x:c r="F152" s="112" t="str">
        <x:v>Blue</x:v>
      </x:c>
      <x:c r="G152" s="146" t="str">
        <x:v>BLU</x:v>
      </x:c>
      <x:c r="H152" s="146" t="str">
        <x:v>XL</x:v>
      </x:c>
      <x:c r="I152" s="147" t="n">
        <x:v>159</x:v>
      </x:c>
      <x:c r="J152" s="112" t="str">
        <x:v>International Warehouse</x:v>
      </x:c>
      <x:c r="K152" s="148" t="str"/>
      <x:c r="L152" s="148" t="str"/>
      <x:c r="M152" s="112" t="str">
        <x:v>Published</x:v>
      </x:c>
      <x:c r="N152" s="113" t="str">
        <x:v>https://www.klarelle.store/product/3b769fb4-092a-40ef-bbe3-48dce2ae16f4</x:v>
      </x:c>
      <x:c r="O152" s="113" t="str">
        <x:v>Supplier-held inventory; no NJ bin unless transferred</x:v>
      </x:c>
      <x:c r="P152" s="112" t="str">
        <x:f>A152</x:f>
        <x:v>KLA-D034-BLU-XL</x:v>
      </x:c>
      <x:c r="Q152" s="112" t="str">
        <x:f>IF(COUNTIF($A$9:$A$303,A152)&gt;1,"DUPLICATE","OK")</x:f>
        <x:v>OK</x:v>
      </x:c>
    </x:row>
    <x:row r="153" ht="24" customHeight="1">
      <x:c r="A153" s="144" t="str">
        <x:f>IF(B153&lt;&gt;"",B153,"KLA-"&amp;C153&amp;"-"&amp;G153&amp;"-"&amp;H153)</x:f>
        <x:v>KLA-D034-PNK-L</x:v>
      </x:c>
      <x:c r="B153" s="145" t="str"/>
      <x:c r="C153" s="146" t="str">
        <x:v>D034</x:v>
      </x:c>
      <x:c r="D153" s="112" t="str">
        <x:v>Zaina Cascade Gown</x:v>
      </x:c>
      <x:c r="E153" s="112" t="str">
        <x:v>Dress</x:v>
      </x:c>
      <x:c r="F153" s="112" t="str">
        <x:v>Pink</x:v>
      </x:c>
      <x:c r="G153" s="146" t="str">
        <x:v>PNK</x:v>
      </x:c>
      <x:c r="H153" s="146" t="str">
        <x:v>L</x:v>
      </x:c>
      <x:c r="I153" s="147" t="n">
        <x:v>159</x:v>
      </x:c>
      <x:c r="J153" s="112" t="str">
        <x:v>International Warehouse</x:v>
      </x:c>
      <x:c r="K153" s="148" t="str"/>
      <x:c r="L153" s="148" t="str"/>
      <x:c r="M153" s="112" t="str">
        <x:v>Published</x:v>
      </x:c>
      <x:c r="N153" s="113" t="str">
        <x:v>https://www.klarelle.store/product/3b769fb4-092a-40ef-bbe3-48dce2ae16f4</x:v>
      </x:c>
      <x:c r="O153" s="113" t="str">
        <x:v>Supplier-held inventory; no NJ bin unless transferred</x:v>
      </x:c>
      <x:c r="P153" s="112" t="str">
        <x:f>A153</x:f>
        <x:v>KLA-D034-PNK-L</x:v>
      </x:c>
      <x:c r="Q153" s="112" t="str">
        <x:f>IF(COUNTIF($A$9:$A$303,A153)&gt;1,"DUPLICATE","OK")</x:f>
        <x:v>OK</x:v>
      </x:c>
    </x:row>
    <x:row r="154" ht="24" customHeight="1">
      <x:c r="A154" s="144" t="str">
        <x:f>IF(B154&lt;&gt;"",B154,"KLA-"&amp;C154&amp;"-"&amp;G154&amp;"-"&amp;H154)</x:f>
        <x:v>KLA-D034-PNK-M</x:v>
      </x:c>
      <x:c r="B154" s="145" t="str"/>
      <x:c r="C154" s="146" t="str">
        <x:v>D034</x:v>
      </x:c>
      <x:c r="D154" s="112" t="str">
        <x:v>Zaina Cascade Gown</x:v>
      </x:c>
      <x:c r="E154" s="112" t="str">
        <x:v>Dress</x:v>
      </x:c>
      <x:c r="F154" s="112" t="str">
        <x:v>Pink</x:v>
      </x:c>
      <x:c r="G154" s="146" t="str">
        <x:v>PNK</x:v>
      </x:c>
      <x:c r="H154" s="146" t="str">
        <x:v>M</x:v>
      </x:c>
      <x:c r="I154" s="147" t="n">
        <x:v>159</x:v>
      </x:c>
      <x:c r="J154" s="112" t="str">
        <x:v>International Warehouse</x:v>
      </x:c>
      <x:c r="K154" s="148" t="str"/>
      <x:c r="L154" s="148" t="str"/>
      <x:c r="M154" s="112" t="str">
        <x:v>Published</x:v>
      </x:c>
      <x:c r="N154" s="113" t="str">
        <x:v>https://www.klarelle.store/product/3b769fb4-092a-40ef-bbe3-48dce2ae16f4</x:v>
      </x:c>
      <x:c r="O154" s="113" t="str">
        <x:v>Supplier-held inventory; no NJ bin unless transferred</x:v>
      </x:c>
      <x:c r="P154" s="112" t="str">
        <x:f>A154</x:f>
        <x:v>KLA-D034-PNK-M</x:v>
      </x:c>
      <x:c r="Q154" s="112" t="str">
        <x:f>IF(COUNTIF($A$9:$A$303,A154)&gt;1,"DUPLICATE","OK")</x:f>
        <x:v>OK</x:v>
      </x:c>
    </x:row>
    <x:row r="155" ht="24" customHeight="1">
      <x:c r="A155" s="144" t="str">
        <x:f>IF(B155&lt;&gt;"",B155,"KLA-"&amp;C155&amp;"-"&amp;G155&amp;"-"&amp;H155)</x:f>
        <x:v>KLA-D034-PNK-S</x:v>
      </x:c>
      <x:c r="B155" s="145" t="str"/>
      <x:c r="C155" s="146" t="str">
        <x:v>D034</x:v>
      </x:c>
      <x:c r="D155" s="112" t="str">
        <x:v>Zaina Cascade Gown</x:v>
      </x:c>
      <x:c r="E155" s="112" t="str">
        <x:v>Dress</x:v>
      </x:c>
      <x:c r="F155" s="112" t="str">
        <x:v>Pink</x:v>
      </x:c>
      <x:c r="G155" s="146" t="str">
        <x:v>PNK</x:v>
      </x:c>
      <x:c r="H155" s="146" t="str">
        <x:v>S</x:v>
      </x:c>
      <x:c r="I155" s="147" t="n">
        <x:v>159</x:v>
      </x:c>
      <x:c r="J155" s="112" t="str">
        <x:v>International Warehouse</x:v>
      </x:c>
      <x:c r="K155" s="148" t="str"/>
      <x:c r="L155" s="148" t="str"/>
      <x:c r="M155" s="112" t="str">
        <x:v>Published</x:v>
      </x:c>
      <x:c r="N155" s="113" t="str">
        <x:v>https://www.klarelle.store/product/3b769fb4-092a-40ef-bbe3-48dce2ae16f4</x:v>
      </x:c>
      <x:c r="O155" s="113" t="str">
        <x:v>Supplier-held inventory; no NJ bin unless transferred</x:v>
      </x:c>
      <x:c r="P155" s="112" t="str">
        <x:f>A155</x:f>
        <x:v>KLA-D034-PNK-S</x:v>
      </x:c>
      <x:c r="Q155" s="112" t="str">
        <x:f>IF(COUNTIF($A$9:$A$303,A155)&gt;1,"DUPLICATE","OK")</x:f>
        <x:v>OK</x:v>
      </x:c>
    </x:row>
    <x:row r="156" ht="24" customHeight="1">
      <x:c r="A156" s="144" t="str">
        <x:f>IF(B156&lt;&gt;"",B156,"KLA-"&amp;C156&amp;"-"&amp;G156&amp;"-"&amp;H156)</x:f>
        <x:v>KLA-D034-PNK-XL</x:v>
      </x:c>
      <x:c r="B156" s="145" t="str"/>
      <x:c r="C156" s="146" t="str">
        <x:v>D034</x:v>
      </x:c>
      <x:c r="D156" s="112" t="str">
        <x:v>Zaina Cascade Gown</x:v>
      </x:c>
      <x:c r="E156" s="112" t="str">
        <x:v>Dress</x:v>
      </x:c>
      <x:c r="F156" s="112" t="str">
        <x:v>Pink</x:v>
      </x:c>
      <x:c r="G156" s="146" t="str">
        <x:v>PNK</x:v>
      </x:c>
      <x:c r="H156" s="146" t="str">
        <x:v>XL</x:v>
      </x:c>
      <x:c r="I156" s="147" t="n">
        <x:v>159</x:v>
      </x:c>
      <x:c r="J156" s="112" t="str">
        <x:v>International Warehouse</x:v>
      </x:c>
      <x:c r="K156" s="148" t="str"/>
      <x:c r="L156" s="148" t="str"/>
      <x:c r="M156" s="112" t="str">
        <x:v>Published</x:v>
      </x:c>
      <x:c r="N156" s="113" t="str">
        <x:v>https://www.klarelle.store/product/3b769fb4-092a-40ef-bbe3-48dce2ae16f4</x:v>
      </x:c>
      <x:c r="O156" s="113" t="str">
        <x:v>Supplier-held inventory; no NJ bin unless transferred</x:v>
      </x:c>
      <x:c r="P156" s="112" t="str">
        <x:f>A156</x:f>
        <x:v>KLA-D034-PNK-XL</x:v>
      </x:c>
      <x:c r="Q156" s="112" t="str">
        <x:f>IF(COUNTIF($A$9:$A$303,A156)&gt;1,"DUPLICATE","OK")</x:f>
        <x:v>OK</x:v>
      </x:c>
    </x:row>
    <x:row r="157" ht="24" customHeight="1">
      <x:c r="A157" s="144" t="str">
        <x:f>IF(B157&lt;&gt;"",B157,"KLA-"&amp;C157&amp;"-"&amp;G157&amp;"-"&amp;H157)</x:f>
        <x:v>KLA-D035-WHT-L</x:v>
      </x:c>
      <x:c r="B157" s="145" t="str"/>
      <x:c r="C157" s="146" t="str">
        <x:v>D035</x:v>
      </x:c>
      <x:c r="D157" s="112" t="str">
        <x:v>Seraphina Pearl Gown</x:v>
      </x:c>
      <x:c r="E157" s="112" t="str">
        <x:v>Dress</x:v>
      </x:c>
      <x:c r="F157" s="112" t="str">
        <x:v>White</x:v>
      </x:c>
      <x:c r="G157" s="146" t="str">
        <x:v>WHT</x:v>
      </x:c>
      <x:c r="H157" s="146" t="str">
        <x:v>L</x:v>
      </x:c>
      <x:c r="I157" s="147" t="n">
        <x:v>169</x:v>
      </x:c>
      <x:c r="J157" s="112" t="str">
        <x:v>US Warehouse</x:v>
      </x:c>
      <x:c r="K157" s="148" t="str"/>
      <x:c r="L157" s="148" t="str"/>
      <x:c r="M157" s="112" t="str">
        <x:v>Published</x:v>
      </x:c>
      <x:c r="N157" s="113" t="str">
        <x:v>https://www.klarelle.store/product/aca4d033-e638-4e44-9a48-fbe6574869b4</x:v>
      </x:c>
      <x:c r="O157" s="113" t="str">
        <x:v>Assign NJ bin if physically stocked</x:v>
      </x:c>
      <x:c r="P157" s="112" t="str">
        <x:f>A157</x:f>
        <x:v>KLA-D035-WHT-L</x:v>
      </x:c>
      <x:c r="Q157" s="112" t="str">
        <x:f>IF(COUNTIF($A$9:$A$303,A157)&gt;1,"DUPLICATE","OK")</x:f>
        <x:v>OK</x:v>
      </x:c>
    </x:row>
    <x:row r="158" ht="24" customHeight="1">
      <x:c r="A158" s="144" t="str">
        <x:f>IF(B158&lt;&gt;"",B158,"KLA-"&amp;C158&amp;"-"&amp;G158&amp;"-"&amp;H158)</x:f>
        <x:v>KLA-D035-WHT-M</x:v>
      </x:c>
      <x:c r="B158" s="145" t="str"/>
      <x:c r="C158" s="146" t="str">
        <x:v>D035</x:v>
      </x:c>
      <x:c r="D158" s="112" t="str">
        <x:v>Seraphina Pearl Gown</x:v>
      </x:c>
      <x:c r="E158" s="112" t="str">
        <x:v>Dress</x:v>
      </x:c>
      <x:c r="F158" s="112" t="str">
        <x:v>White</x:v>
      </x:c>
      <x:c r="G158" s="146" t="str">
        <x:v>WHT</x:v>
      </x:c>
      <x:c r="H158" s="146" t="str">
        <x:v>M</x:v>
      </x:c>
      <x:c r="I158" s="147" t="n">
        <x:v>169</x:v>
      </x:c>
      <x:c r="J158" s="112" t="str">
        <x:v>US Warehouse</x:v>
      </x:c>
      <x:c r="K158" s="148" t="str"/>
      <x:c r="L158" s="148" t="str"/>
      <x:c r="M158" s="112" t="str">
        <x:v>Published</x:v>
      </x:c>
      <x:c r="N158" s="113" t="str">
        <x:v>https://www.klarelle.store/product/aca4d033-e638-4e44-9a48-fbe6574869b4</x:v>
      </x:c>
      <x:c r="O158" s="113" t="str">
        <x:v>Assign NJ bin if physically stocked</x:v>
      </x:c>
      <x:c r="P158" s="112" t="str">
        <x:f>A158</x:f>
        <x:v>KLA-D035-WHT-M</x:v>
      </x:c>
      <x:c r="Q158" s="112" t="str">
        <x:f>IF(COUNTIF($A$9:$A$303,A158)&gt;1,"DUPLICATE","OK")</x:f>
        <x:v>OK</x:v>
      </x:c>
    </x:row>
    <x:row r="159" ht="24" customHeight="1">
      <x:c r="A159" s="144" t="str">
        <x:f>IF(B159&lt;&gt;"",B159,"KLA-"&amp;C159&amp;"-"&amp;G159&amp;"-"&amp;H159)</x:f>
        <x:v>KLA-D035-WHT-S</x:v>
      </x:c>
      <x:c r="B159" s="145" t="str"/>
      <x:c r="C159" s="146" t="str">
        <x:v>D035</x:v>
      </x:c>
      <x:c r="D159" s="112" t="str">
        <x:v>Seraphina Pearl Gown</x:v>
      </x:c>
      <x:c r="E159" s="112" t="str">
        <x:v>Dress</x:v>
      </x:c>
      <x:c r="F159" s="112" t="str">
        <x:v>White</x:v>
      </x:c>
      <x:c r="G159" s="146" t="str">
        <x:v>WHT</x:v>
      </x:c>
      <x:c r="H159" s="146" t="str">
        <x:v>S</x:v>
      </x:c>
      <x:c r="I159" s="147" t="n">
        <x:v>169</x:v>
      </x:c>
      <x:c r="J159" s="112" t="str">
        <x:v>US Warehouse</x:v>
      </x:c>
      <x:c r="K159" s="148" t="str"/>
      <x:c r="L159" s="148" t="str"/>
      <x:c r="M159" s="112" t="str">
        <x:v>Published</x:v>
      </x:c>
      <x:c r="N159" s="113" t="str">
        <x:v>https://www.klarelle.store/product/aca4d033-e638-4e44-9a48-fbe6574869b4</x:v>
      </x:c>
      <x:c r="O159" s="113" t="str">
        <x:v>Assign NJ bin if physically stocked</x:v>
      </x:c>
      <x:c r="P159" s="112" t="str">
        <x:f>A159</x:f>
        <x:v>KLA-D035-WHT-S</x:v>
      </x:c>
      <x:c r="Q159" s="112" t="str">
        <x:f>IF(COUNTIF($A$9:$A$303,A159)&gt;1,"DUPLICATE","OK")</x:f>
        <x:v>OK</x:v>
      </x:c>
    </x:row>
    <x:row r="160" ht="24" customHeight="1">
      <x:c r="A160" s="144" t="str">
        <x:f>IF(B160&lt;&gt;"",B160,"KLA-"&amp;C160&amp;"-"&amp;G160&amp;"-"&amp;H160)</x:f>
        <x:v>KLA-D035-WHT-XL</x:v>
      </x:c>
      <x:c r="B160" s="145" t="str"/>
      <x:c r="C160" s="146" t="str">
        <x:v>D035</x:v>
      </x:c>
      <x:c r="D160" s="112" t="str">
        <x:v>Seraphina Pearl Gown</x:v>
      </x:c>
      <x:c r="E160" s="112" t="str">
        <x:v>Dress</x:v>
      </x:c>
      <x:c r="F160" s="112" t="str">
        <x:v>White</x:v>
      </x:c>
      <x:c r="G160" s="146" t="str">
        <x:v>WHT</x:v>
      </x:c>
      <x:c r="H160" s="146" t="str">
        <x:v>XL</x:v>
      </x:c>
      <x:c r="I160" s="147" t="n">
        <x:v>169</x:v>
      </x:c>
      <x:c r="J160" s="112" t="str">
        <x:v>US Warehouse</x:v>
      </x:c>
      <x:c r="K160" s="148" t="str"/>
      <x:c r="L160" s="148" t="str"/>
      <x:c r="M160" s="112" t="str">
        <x:v>Published</x:v>
      </x:c>
      <x:c r="N160" s="113" t="str">
        <x:v>https://www.klarelle.store/product/aca4d033-e638-4e44-9a48-fbe6574869b4</x:v>
      </x:c>
      <x:c r="O160" s="113" t="str">
        <x:v>Assign NJ bin if physically stocked</x:v>
      </x:c>
      <x:c r="P160" s="112" t="str">
        <x:f>A160</x:f>
        <x:v>KLA-D035-WHT-XL</x:v>
      </x:c>
      <x:c r="Q160" s="112" t="str">
        <x:f>IF(COUNTIF($A$9:$A$303,A160)&gt;1,"DUPLICATE","OK")</x:f>
        <x:v>OK</x:v>
      </x:c>
    </x:row>
    <x:row r="161" ht="24" customHeight="1">
      <x:c r="A161" s="144" t="str">
        <x:f>IF(B161&lt;&gt;"",B161,"KLA-"&amp;C161&amp;"-"&amp;G161&amp;"-"&amp;H161)</x:f>
        <x:v>KLA-D036-PNK-L</x:v>
      </x:c>
      <x:c r="B161" s="145" t="str"/>
      <x:c r="C161" s="146" t="str">
        <x:v>D036</x:v>
      </x:c>
      <x:c r="D161" s="112" t="str">
        <x:v>Élodie Bow Mini Dress</x:v>
      </x:c>
      <x:c r="E161" s="112" t="str">
        <x:v>Dress</x:v>
      </x:c>
      <x:c r="F161" s="112" t="str">
        <x:v>Pink</x:v>
      </x:c>
      <x:c r="G161" s="146" t="str">
        <x:v>PNK</x:v>
      </x:c>
      <x:c r="H161" s="146" t="str">
        <x:v>L</x:v>
      </x:c>
      <x:c r="I161" s="147" t="n">
        <x:v>99</x:v>
      </x:c>
      <x:c r="J161" s="112" t="str">
        <x:v>US Warehouse</x:v>
      </x:c>
      <x:c r="K161" s="148" t="str"/>
      <x:c r="L161" s="148" t="str"/>
      <x:c r="M161" s="112" t="str">
        <x:v>Published</x:v>
      </x:c>
      <x:c r="N161" s="113" t="str">
        <x:v>https://www.klarelle.store/product/6bf0bd46-d4c9-4d47-8b54-873bcc02b29c</x:v>
      </x:c>
      <x:c r="O161" s="113" t="str">
        <x:v>Assign NJ bin if physically stocked</x:v>
      </x:c>
      <x:c r="P161" s="112" t="str">
        <x:f>A161</x:f>
        <x:v>KLA-D036-PNK-L</x:v>
      </x:c>
      <x:c r="Q161" s="112" t="str">
        <x:f>IF(COUNTIF($A$9:$A$303,A161)&gt;1,"DUPLICATE","OK")</x:f>
        <x:v>OK</x:v>
      </x:c>
    </x:row>
    <x:row r="162" ht="24" customHeight="1">
      <x:c r="A162" s="144" t="str">
        <x:f>IF(B162&lt;&gt;"",B162,"KLA-"&amp;C162&amp;"-"&amp;G162&amp;"-"&amp;H162)</x:f>
        <x:v>KLA-D036-PNK-M</x:v>
      </x:c>
      <x:c r="B162" s="145" t="str"/>
      <x:c r="C162" s="146" t="str">
        <x:v>D036</x:v>
      </x:c>
      <x:c r="D162" s="112" t="str">
        <x:v>Élodie Bow Mini Dress</x:v>
      </x:c>
      <x:c r="E162" s="112" t="str">
        <x:v>Dress</x:v>
      </x:c>
      <x:c r="F162" s="112" t="str">
        <x:v>Pink</x:v>
      </x:c>
      <x:c r="G162" s="146" t="str">
        <x:v>PNK</x:v>
      </x:c>
      <x:c r="H162" s="146" t="str">
        <x:v>M</x:v>
      </x:c>
      <x:c r="I162" s="147" t="n">
        <x:v>99</x:v>
      </x:c>
      <x:c r="J162" s="112" t="str">
        <x:v>US Warehouse</x:v>
      </x:c>
      <x:c r="K162" s="148" t="str"/>
      <x:c r="L162" s="148" t="str"/>
      <x:c r="M162" s="112" t="str">
        <x:v>Published</x:v>
      </x:c>
      <x:c r="N162" s="113" t="str">
        <x:v>https://www.klarelle.store/product/6bf0bd46-d4c9-4d47-8b54-873bcc02b29c</x:v>
      </x:c>
      <x:c r="O162" s="113" t="str">
        <x:v>Assign NJ bin if physically stocked</x:v>
      </x:c>
      <x:c r="P162" s="112" t="str">
        <x:f>A162</x:f>
        <x:v>KLA-D036-PNK-M</x:v>
      </x:c>
      <x:c r="Q162" s="112" t="str">
        <x:f>IF(COUNTIF($A$9:$A$303,A162)&gt;1,"DUPLICATE","OK")</x:f>
        <x:v>OK</x:v>
      </x:c>
    </x:row>
    <x:row r="163" ht="24" customHeight="1">
      <x:c r="A163" s="144" t="str">
        <x:f>IF(B163&lt;&gt;"",B163,"KLA-"&amp;C163&amp;"-"&amp;G163&amp;"-"&amp;H163)</x:f>
        <x:v>KLA-D036-PNK-S</x:v>
      </x:c>
      <x:c r="B163" s="145" t="str"/>
      <x:c r="C163" s="146" t="str">
        <x:v>D036</x:v>
      </x:c>
      <x:c r="D163" s="112" t="str">
        <x:v>Élodie Bow Mini Dress</x:v>
      </x:c>
      <x:c r="E163" s="112" t="str">
        <x:v>Dress</x:v>
      </x:c>
      <x:c r="F163" s="112" t="str">
        <x:v>Pink</x:v>
      </x:c>
      <x:c r="G163" s="146" t="str">
        <x:v>PNK</x:v>
      </x:c>
      <x:c r="H163" s="146" t="str">
        <x:v>S</x:v>
      </x:c>
      <x:c r="I163" s="147" t="n">
        <x:v>99</x:v>
      </x:c>
      <x:c r="J163" s="112" t="str">
        <x:v>US Warehouse</x:v>
      </x:c>
      <x:c r="K163" s="148" t="str"/>
      <x:c r="L163" s="148" t="str"/>
      <x:c r="M163" s="112" t="str">
        <x:v>Published</x:v>
      </x:c>
      <x:c r="N163" s="113" t="str">
        <x:v>https://www.klarelle.store/product/6bf0bd46-d4c9-4d47-8b54-873bcc02b29c</x:v>
      </x:c>
      <x:c r="O163" s="113" t="str">
        <x:v>Assign NJ bin if physically stocked</x:v>
      </x:c>
      <x:c r="P163" s="112" t="str">
        <x:f>A163</x:f>
        <x:v>KLA-D036-PNK-S</x:v>
      </x:c>
      <x:c r="Q163" s="112" t="str">
        <x:f>IF(COUNTIF($A$9:$A$303,A163)&gt;1,"DUPLICATE","OK")</x:f>
        <x:v>OK</x:v>
      </x:c>
    </x:row>
    <x:row r="164" ht="24" customHeight="1">
      <x:c r="A164" s="144" t="str">
        <x:f>IF(B164&lt;&gt;"",B164,"KLA-"&amp;C164&amp;"-"&amp;G164&amp;"-"&amp;H164)</x:f>
        <x:v>KLA-D036-PNK-XL</x:v>
      </x:c>
      <x:c r="B164" s="145" t="str"/>
      <x:c r="C164" s="146" t="str">
        <x:v>D036</x:v>
      </x:c>
      <x:c r="D164" s="112" t="str">
        <x:v>Élodie Bow Mini Dress</x:v>
      </x:c>
      <x:c r="E164" s="112" t="str">
        <x:v>Dress</x:v>
      </x:c>
      <x:c r="F164" s="112" t="str">
        <x:v>Pink</x:v>
      </x:c>
      <x:c r="G164" s="146" t="str">
        <x:v>PNK</x:v>
      </x:c>
      <x:c r="H164" s="146" t="str">
        <x:v>XL</x:v>
      </x:c>
      <x:c r="I164" s="147" t="n">
        <x:v>99</x:v>
      </x:c>
      <x:c r="J164" s="112" t="str">
        <x:v>US Warehouse</x:v>
      </x:c>
      <x:c r="K164" s="148" t="str"/>
      <x:c r="L164" s="148" t="str"/>
      <x:c r="M164" s="112" t="str">
        <x:v>Published</x:v>
      </x:c>
      <x:c r="N164" s="113" t="str">
        <x:v>https://www.klarelle.store/product/6bf0bd46-d4c9-4d47-8b54-873bcc02b29c</x:v>
      </x:c>
      <x:c r="O164" s="113" t="str">
        <x:v>Assign NJ bin if physically stocked</x:v>
      </x:c>
      <x:c r="P164" s="112" t="str">
        <x:f>A164</x:f>
        <x:v>KLA-D036-PNK-XL</x:v>
      </x:c>
      <x:c r="Q164" s="112" t="str">
        <x:f>IF(COUNTIF($A$9:$A$303,A164)&gt;1,"DUPLICATE","OK")</x:f>
        <x:v>OK</x:v>
      </x:c>
    </x:row>
    <x:row r="165" ht="24" customHeight="1">
      <x:c r="A165" s="144" t="str">
        <x:f>IF(B165&lt;&gt;"",B165,"KLA-"&amp;C165&amp;"-"&amp;G165&amp;"-"&amp;H165)</x:f>
        <x:v>KLA-D036-WHT-L</x:v>
      </x:c>
      <x:c r="B165" s="145" t="str"/>
      <x:c r="C165" s="146" t="str">
        <x:v>D036</x:v>
      </x:c>
      <x:c r="D165" s="112" t="str">
        <x:v>Élodie Bow Mini Dress</x:v>
      </x:c>
      <x:c r="E165" s="112" t="str">
        <x:v>Dress</x:v>
      </x:c>
      <x:c r="F165" s="112" t="str">
        <x:v>White</x:v>
      </x:c>
      <x:c r="G165" s="146" t="str">
        <x:v>WHT</x:v>
      </x:c>
      <x:c r="H165" s="146" t="str">
        <x:v>L</x:v>
      </x:c>
      <x:c r="I165" s="147" t="n">
        <x:v>99</x:v>
      </x:c>
      <x:c r="J165" s="112" t="str">
        <x:v>US Warehouse</x:v>
      </x:c>
      <x:c r="K165" s="148" t="str"/>
      <x:c r="L165" s="148" t="str"/>
      <x:c r="M165" s="112" t="str">
        <x:v>Published</x:v>
      </x:c>
      <x:c r="N165" s="113" t="str">
        <x:v>https://www.klarelle.store/product/6bf0bd46-d4c9-4d47-8b54-873bcc02b29c</x:v>
      </x:c>
      <x:c r="O165" s="113" t="str">
        <x:v>Assign NJ bin if physically stocked</x:v>
      </x:c>
      <x:c r="P165" s="112" t="str">
        <x:f>A165</x:f>
        <x:v>KLA-D036-WHT-L</x:v>
      </x:c>
      <x:c r="Q165" s="112" t="str">
        <x:f>IF(COUNTIF($A$9:$A$303,A165)&gt;1,"DUPLICATE","OK")</x:f>
        <x:v>OK</x:v>
      </x:c>
    </x:row>
    <x:row r="166" ht="24" customHeight="1">
      <x:c r="A166" s="144" t="str">
        <x:f>IF(B166&lt;&gt;"",B166,"KLA-"&amp;C166&amp;"-"&amp;G166&amp;"-"&amp;H166)</x:f>
        <x:v>KLA-D036-WHT-M</x:v>
      </x:c>
      <x:c r="B166" s="145" t="str"/>
      <x:c r="C166" s="146" t="str">
        <x:v>D036</x:v>
      </x:c>
      <x:c r="D166" s="112" t="str">
        <x:v>Élodie Bow Mini Dress</x:v>
      </x:c>
      <x:c r="E166" s="112" t="str">
        <x:v>Dress</x:v>
      </x:c>
      <x:c r="F166" s="112" t="str">
        <x:v>White</x:v>
      </x:c>
      <x:c r="G166" s="146" t="str">
        <x:v>WHT</x:v>
      </x:c>
      <x:c r="H166" s="146" t="str">
        <x:v>M</x:v>
      </x:c>
      <x:c r="I166" s="147" t="n">
        <x:v>99</x:v>
      </x:c>
      <x:c r="J166" s="112" t="str">
        <x:v>US Warehouse</x:v>
      </x:c>
      <x:c r="K166" s="148" t="str"/>
      <x:c r="L166" s="148" t="str"/>
      <x:c r="M166" s="112" t="str">
        <x:v>Published</x:v>
      </x:c>
      <x:c r="N166" s="113" t="str">
        <x:v>https://www.klarelle.store/product/6bf0bd46-d4c9-4d47-8b54-873bcc02b29c</x:v>
      </x:c>
      <x:c r="O166" s="113" t="str">
        <x:v>Assign NJ bin if physically stocked</x:v>
      </x:c>
      <x:c r="P166" s="112" t="str">
        <x:f>A166</x:f>
        <x:v>KLA-D036-WHT-M</x:v>
      </x:c>
      <x:c r="Q166" s="112" t="str">
        <x:f>IF(COUNTIF($A$9:$A$303,A166)&gt;1,"DUPLICATE","OK")</x:f>
        <x:v>OK</x:v>
      </x:c>
    </x:row>
    <x:row r="167" ht="24" customHeight="1">
      <x:c r="A167" s="144" t="str">
        <x:f>IF(B167&lt;&gt;"",B167,"KLA-"&amp;C167&amp;"-"&amp;G167&amp;"-"&amp;H167)</x:f>
        <x:v>KLA-D036-WHT-S</x:v>
      </x:c>
      <x:c r="B167" s="145" t="str"/>
      <x:c r="C167" s="146" t="str">
        <x:v>D036</x:v>
      </x:c>
      <x:c r="D167" s="112" t="str">
        <x:v>Élodie Bow Mini Dress</x:v>
      </x:c>
      <x:c r="E167" s="112" t="str">
        <x:v>Dress</x:v>
      </x:c>
      <x:c r="F167" s="112" t="str">
        <x:v>White</x:v>
      </x:c>
      <x:c r="G167" s="146" t="str">
        <x:v>WHT</x:v>
      </x:c>
      <x:c r="H167" s="146" t="str">
        <x:v>S</x:v>
      </x:c>
      <x:c r="I167" s="147" t="n">
        <x:v>99</x:v>
      </x:c>
      <x:c r="J167" s="112" t="str">
        <x:v>US Warehouse</x:v>
      </x:c>
      <x:c r="K167" s="148" t="str"/>
      <x:c r="L167" s="148" t="str"/>
      <x:c r="M167" s="112" t="str">
        <x:v>Published</x:v>
      </x:c>
      <x:c r="N167" s="113" t="str">
        <x:v>https://www.klarelle.store/product/6bf0bd46-d4c9-4d47-8b54-873bcc02b29c</x:v>
      </x:c>
      <x:c r="O167" s="113" t="str">
        <x:v>Assign NJ bin if physically stocked</x:v>
      </x:c>
      <x:c r="P167" s="112" t="str">
        <x:f>A167</x:f>
        <x:v>KLA-D036-WHT-S</x:v>
      </x:c>
      <x:c r="Q167" s="112" t="str">
        <x:f>IF(COUNTIF($A$9:$A$303,A167)&gt;1,"DUPLICATE","OK")</x:f>
        <x:v>OK</x:v>
      </x:c>
    </x:row>
    <x:row r="168" ht="24" customHeight="1">
      <x:c r="A168" s="144" t="str">
        <x:f>IF(B168&lt;&gt;"",B168,"KLA-"&amp;C168&amp;"-"&amp;G168&amp;"-"&amp;H168)</x:f>
        <x:v>KLA-D036-WHT-XL</x:v>
      </x:c>
      <x:c r="B168" s="145" t="str"/>
      <x:c r="C168" s="146" t="str">
        <x:v>D036</x:v>
      </x:c>
      <x:c r="D168" s="112" t="str">
        <x:v>Élodie Bow Mini Dress</x:v>
      </x:c>
      <x:c r="E168" s="112" t="str">
        <x:v>Dress</x:v>
      </x:c>
      <x:c r="F168" s="112" t="str">
        <x:v>White</x:v>
      </x:c>
      <x:c r="G168" s="146" t="str">
        <x:v>WHT</x:v>
      </x:c>
      <x:c r="H168" s="146" t="str">
        <x:v>XL</x:v>
      </x:c>
      <x:c r="I168" s="147" t="n">
        <x:v>99</x:v>
      </x:c>
      <x:c r="J168" s="112" t="str">
        <x:v>US Warehouse</x:v>
      </x:c>
      <x:c r="K168" s="148" t="str"/>
      <x:c r="L168" s="148" t="str"/>
      <x:c r="M168" s="112" t="str">
        <x:v>Published</x:v>
      </x:c>
      <x:c r="N168" s="113" t="str">
        <x:v>https://www.klarelle.store/product/6bf0bd46-d4c9-4d47-8b54-873bcc02b29c</x:v>
      </x:c>
      <x:c r="O168" s="113" t="str">
        <x:v>Assign NJ bin if physically stocked</x:v>
      </x:c>
      <x:c r="P168" s="112" t="str">
        <x:f>A168</x:f>
        <x:v>KLA-D036-WHT-XL</x:v>
      </x:c>
      <x:c r="Q168" s="112" t="str">
        <x:f>IF(COUNTIF($A$9:$A$303,A168)&gt;1,"DUPLICATE","OK")</x:f>
        <x:v>OK</x:v>
      </x:c>
    </x:row>
    <x:row r="169" ht="24" customHeight="1">
      <x:c r="A169" s="144" t="str">
        <x:f>IF(B169&lt;&gt;"",B169,"KLA-"&amp;C169&amp;"-"&amp;G169&amp;"-"&amp;H169)</x:f>
        <x:v>KLA-D037-PNK-L</x:v>
      </x:c>
      <x:c r="B169" s="145" t="str"/>
      <x:c r="C169" s="146" t="str">
        <x:v>D037</x:v>
      </x:c>
      <x:c r="D169" s="112" t="str">
        <x:v>Celeste Dress</x:v>
      </x:c>
      <x:c r="E169" s="112" t="str">
        <x:v>Dress</x:v>
      </x:c>
      <x:c r="F169" s="112" t="str">
        <x:v>Pink</x:v>
      </x:c>
      <x:c r="G169" s="146" t="str">
        <x:v>PNK</x:v>
      </x:c>
      <x:c r="H169" s="146" t="str">
        <x:v>L</x:v>
      </x:c>
      <x:c r="I169" s="147" t="n">
        <x:v>99</x:v>
      </x:c>
      <x:c r="J169" s="112" t="str">
        <x:v>US Warehouse</x:v>
      </x:c>
      <x:c r="K169" s="148" t="str"/>
      <x:c r="L169" s="148" t="str"/>
      <x:c r="M169" s="112" t="str">
        <x:v>Published</x:v>
      </x:c>
      <x:c r="N169" s="113" t="str">
        <x:v>https://www.klarelle.store/product/0498989b-926e-48b3-9166-d78a038c8d0e</x:v>
      </x:c>
      <x:c r="O169" s="113" t="str">
        <x:v>Assign NJ bin if physically stocked</x:v>
      </x:c>
      <x:c r="P169" s="112" t="str">
        <x:f>A169</x:f>
        <x:v>KLA-D037-PNK-L</x:v>
      </x:c>
      <x:c r="Q169" s="112" t="str">
        <x:f>IF(COUNTIF($A$9:$A$303,A169)&gt;1,"DUPLICATE","OK")</x:f>
        <x:v>OK</x:v>
      </x:c>
    </x:row>
    <x:row r="170" ht="24" customHeight="1">
      <x:c r="A170" s="144" t="str">
        <x:f>IF(B170&lt;&gt;"",B170,"KLA-"&amp;C170&amp;"-"&amp;G170&amp;"-"&amp;H170)</x:f>
        <x:v>KLA-D037-PNK-M</x:v>
      </x:c>
      <x:c r="B170" s="145" t="str"/>
      <x:c r="C170" s="146" t="str">
        <x:v>D037</x:v>
      </x:c>
      <x:c r="D170" s="112" t="str">
        <x:v>Celeste Dress</x:v>
      </x:c>
      <x:c r="E170" s="112" t="str">
        <x:v>Dress</x:v>
      </x:c>
      <x:c r="F170" s="112" t="str">
        <x:v>Pink</x:v>
      </x:c>
      <x:c r="G170" s="146" t="str">
        <x:v>PNK</x:v>
      </x:c>
      <x:c r="H170" s="146" t="str">
        <x:v>M</x:v>
      </x:c>
      <x:c r="I170" s="147" t="n">
        <x:v>99</x:v>
      </x:c>
      <x:c r="J170" s="112" t="str">
        <x:v>US Warehouse</x:v>
      </x:c>
      <x:c r="K170" s="148" t="str"/>
      <x:c r="L170" s="148" t="str"/>
      <x:c r="M170" s="112" t="str">
        <x:v>Published</x:v>
      </x:c>
      <x:c r="N170" s="113" t="str">
        <x:v>https://www.klarelle.store/product/0498989b-926e-48b3-9166-d78a038c8d0e</x:v>
      </x:c>
      <x:c r="O170" s="113" t="str">
        <x:v>Assign NJ bin if physically stocked</x:v>
      </x:c>
      <x:c r="P170" s="112" t="str">
        <x:f>A170</x:f>
        <x:v>KLA-D037-PNK-M</x:v>
      </x:c>
      <x:c r="Q170" s="112" t="str">
        <x:f>IF(COUNTIF($A$9:$A$303,A170)&gt;1,"DUPLICATE","OK")</x:f>
        <x:v>OK</x:v>
      </x:c>
    </x:row>
    <x:row r="171" ht="24" customHeight="1">
      <x:c r="A171" s="144" t="str">
        <x:f>IF(B171&lt;&gt;"",B171,"KLA-"&amp;C171&amp;"-"&amp;G171&amp;"-"&amp;H171)</x:f>
        <x:v>KLA-D037-PNK-S</x:v>
      </x:c>
      <x:c r="B171" s="145" t="str"/>
      <x:c r="C171" s="146" t="str">
        <x:v>D037</x:v>
      </x:c>
      <x:c r="D171" s="112" t="str">
        <x:v>Celeste Dress</x:v>
      </x:c>
      <x:c r="E171" s="112" t="str">
        <x:v>Dress</x:v>
      </x:c>
      <x:c r="F171" s="112" t="str">
        <x:v>Pink</x:v>
      </x:c>
      <x:c r="G171" s="146" t="str">
        <x:v>PNK</x:v>
      </x:c>
      <x:c r="H171" s="146" t="str">
        <x:v>S</x:v>
      </x:c>
      <x:c r="I171" s="147" t="n">
        <x:v>99</x:v>
      </x:c>
      <x:c r="J171" s="112" t="str">
        <x:v>US Warehouse</x:v>
      </x:c>
      <x:c r="K171" s="148" t="str"/>
      <x:c r="L171" s="148" t="str"/>
      <x:c r="M171" s="112" t="str">
        <x:v>Published</x:v>
      </x:c>
      <x:c r="N171" s="113" t="str">
        <x:v>https://www.klarelle.store/product/0498989b-926e-48b3-9166-d78a038c8d0e</x:v>
      </x:c>
      <x:c r="O171" s="113" t="str">
        <x:v>Assign NJ bin if physically stocked</x:v>
      </x:c>
      <x:c r="P171" s="112" t="str">
        <x:f>A171</x:f>
        <x:v>KLA-D037-PNK-S</x:v>
      </x:c>
      <x:c r="Q171" s="112" t="str">
        <x:f>IF(COUNTIF($A$9:$A$303,A171)&gt;1,"DUPLICATE","OK")</x:f>
        <x:v>OK</x:v>
      </x:c>
    </x:row>
    <x:row r="172" ht="24" customHeight="1">
      <x:c r="A172" s="144" t="str">
        <x:f>IF(B172&lt;&gt;"",B172,"KLA-"&amp;C172&amp;"-"&amp;G172&amp;"-"&amp;H172)</x:f>
        <x:v>KLA-D037-PNK-XL</x:v>
      </x:c>
      <x:c r="B172" s="145" t="str"/>
      <x:c r="C172" s="146" t="str">
        <x:v>D037</x:v>
      </x:c>
      <x:c r="D172" s="112" t="str">
        <x:v>Celeste Dress</x:v>
      </x:c>
      <x:c r="E172" s="112" t="str">
        <x:v>Dress</x:v>
      </x:c>
      <x:c r="F172" s="112" t="str">
        <x:v>Pink</x:v>
      </x:c>
      <x:c r="G172" s="146" t="str">
        <x:v>PNK</x:v>
      </x:c>
      <x:c r="H172" s="146" t="str">
        <x:v>XL</x:v>
      </x:c>
      <x:c r="I172" s="147" t="n">
        <x:v>99</x:v>
      </x:c>
      <x:c r="J172" s="112" t="str">
        <x:v>US Warehouse</x:v>
      </x:c>
      <x:c r="K172" s="148" t="str"/>
      <x:c r="L172" s="148" t="str"/>
      <x:c r="M172" s="112" t="str">
        <x:v>Published</x:v>
      </x:c>
      <x:c r="N172" s="113" t="str">
        <x:v>https://www.klarelle.store/product/0498989b-926e-48b3-9166-d78a038c8d0e</x:v>
      </x:c>
      <x:c r="O172" s="113" t="str">
        <x:v>Assign NJ bin if physically stocked</x:v>
      </x:c>
      <x:c r="P172" s="112" t="str">
        <x:f>A172</x:f>
        <x:v>KLA-D037-PNK-XL</x:v>
      </x:c>
      <x:c r="Q172" s="112" t="str">
        <x:f>IF(COUNTIF($A$9:$A$303,A172)&gt;1,"DUPLICATE","OK")</x:f>
        <x:v>OK</x:v>
      </x:c>
    </x:row>
    <x:row r="173" ht="24" customHeight="1">
      <x:c r="A173" s="144" t="str">
        <x:f>IF(B173&lt;&gt;"",B173,"KLA-"&amp;C173&amp;"-"&amp;G173&amp;"-"&amp;H173)</x:f>
        <x:v>KLA-D038-RED-L</x:v>
      </x:c>
      <x:c r="B173" s="145" t="str"/>
      <x:c r="C173" s="146" t="str">
        <x:v>D038</x:v>
      </x:c>
      <x:c r="D173" s="112" t="str">
        <x:v>Reilia Dress</x:v>
      </x:c>
      <x:c r="E173" s="112" t="str">
        <x:v>Dress</x:v>
      </x:c>
      <x:c r="F173" s="112" t="str">
        <x:v>Red</x:v>
      </x:c>
      <x:c r="G173" s="146" t="str">
        <x:v>RED</x:v>
      </x:c>
      <x:c r="H173" s="146" t="str">
        <x:v>L</x:v>
      </x:c>
      <x:c r="I173" s="147" t="n">
        <x:v>89</x:v>
      </x:c>
      <x:c r="J173" s="112" t="str">
        <x:v>US Warehouse</x:v>
      </x:c>
      <x:c r="K173" s="148" t="str"/>
      <x:c r="L173" s="148" t="str"/>
      <x:c r="M173" s="112" t="str">
        <x:v>Published</x:v>
      </x:c>
      <x:c r="N173" s="113" t="str">
        <x:v>https://www.klarelle.store/product/beb78048-8681-4af8-b6be-7babbbe9fc68</x:v>
      </x:c>
      <x:c r="O173" s="113" t="str">
        <x:v>Assign NJ bin if physically stocked</x:v>
      </x:c>
      <x:c r="P173" s="112" t="str">
        <x:f>A173</x:f>
        <x:v>KLA-D038-RED-L</x:v>
      </x:c>
      <x:c r="Q173" s="112" t="str">
        <x:f>IF(COUNTIF($A$9:$A$303,A173)&gt;1,"DUPLICATE","OK")</x:f>
        <x:v>OK</x:v>
      </x:c>
    </x:row>
    <x:row r="174" ht="24" customHeight="1">
      <x:c r="A174" s="144" t="str">
        <x:f>IF(B174&lt;&gt;"",B174,"KLA-"&amp;C174&amp;"-"&amp;G174&amp;"-"&amp;H174)</x:f>
        <x:v>KLA-D038-RED-M</x:v>
      </x:c>
      <x:c r="B174" s="145" t="str"/>
      <x:c r="C174" s="146" t="str">
        <x:v>D038</x:v>
      </x:c>
      <x:c r="D174" s="112" t="str">
        <x:v>Reilia Dress</x:v>
      </x:c>
      <x:c r="E174" s="112" t="str">
        <x:v>Dress</x:v>
      </x:c>
      <x:c r="F174" s="112" t="str">
        <x:v>Red</x:v>
      </x:c>
      <x:c r="G174" s="146" t="str">
        <x:v>RED</x:v>
      </x:c>
      <x:c r="H174" s="146" t="str">
        <x:v>M</x:v>
      </x:c>
      <x:c r="I174" s="147" t="n">
        <x:v>89</x:v>
      </x:c>
      <x:c r="J174" s="112" t="str">
        <x:v>US Warehouse</x:v>
      </x:c>
      <x:c r="K174" s="148" t="str"/>
      <x:c r="L174" s="148" t="str"/>
      <x:c r="M174" s="112" t="str">
        <x:v>Published</x:v>
      </x:c>
      <x:c r="N174" s="113" t="str">
        <x:v>https://www.klarelle.store/product/beb78048-8681-4af8-b6be-7babbbe9fc68</x:v>
      </x:c>
      <x:c r="O174" s="113" t="str">
        <x:v>Assign NJ bin if physically stocked</x:v>
      </x:c>
      <x:c r="P174" s="112" t="str">
        <x:f>A174</x:f>
        <x:v>KLA-D038-RED-M</x:v>
      </x:c>
      <x:c r="Q174" s="112" t="str">
        <x:f>IF(COUNTIF($A$9:$A$303,A174)&gt;1,"DUPLICATE","OK")</x:f>
        <x:v>OK</x:v>
      </x:c>
    </x:row>
    <x:row r="175" ht="24" customHeight="1">
      <x:c r="A175" s="144" t="str">
        <x:f>IF(B175&lt;&gt;"",B175,"KLA-"&amp;C175&amp;"-"&amp;G175&amp;"-"&amp;H175)</x:f>
        <x:v>KLA-D038-RED-S</x:v>
      </x:c>
      <x:c r="B175" s="145" t="str"/>
      <x:c r="C175" s="146" t="str">
        <x:v>D038</x:v>
      </x:c>
      <x:c r="D175" s="112" t="str">
        <x:v>Reilia Dress</x:v>
      </x:c>
      <x:c r="E175" s="112" t="str">
        <x:v>Dress</x:v>
      </x:c>
      <x:c r="F175" s="112" t="str">
        <x:v>Red</x:v>
      </x:c>
      <x:c r="G175" s="146" t="str">
        <x:v>RED</x:v>
      </x:c>
      <x:c r="H175" s="146" t="str">
        <x:v>S</x:v>
      </x:c>
      <x:c r="I175" s="147" t="n">
        <x:v>89</x:v>
      </x:c>
      <x:c r="J175" s="112" t="str">
        <x:v>US Warehouse</x:v>
      </x:c>
      <x:c r="K175" s="148" t="str"/>
      <x:c r="L175" s="148" t="str"/>
      <x:c r="M175" s="112" t="str">
        <x:v>Published</x:v>
      </x:c>
      <x:c r="N175" s="113" t="str">
        <x:v>https://www.klarelle.store/product/beb78048-8681-4af8-b6be-7babbbe9fc68</x:v>
      </x:c>
      <x:c r="O175" s="113" t="str">
        <x:v>Assign NJ bin if physically stocked</x:v>
      </x:c>
      <x:c r="P175" s="112" t="str">
        <x:f>A175</x:f>
        <x:v>KLA-D038-RED-S</x:v>
      </x:c>
      <x:c r="Q175" s="112" t="str">
        <x:f>IF(COUNTIF($A$9:$A$303,A175)&gt;1,"DUPLICATE","OK")</x:f>
        <x:v>OK</x:v>
      </x:c>
    </x:row>
    <x:row r="176" ht="24" customHeight="1">
      <x:c r="A176" s="144" t="str">
        <x:f>IF(B176&lt;&gt;"",B176,"KLA-"&amp;C176&amp;"-"&amp;G176&amp;"-"&amp;H176)</x:f>
        <x:v>KLA-D038-RED-XL</x:v>
      </x:c>
      <x:c r="B176" s="145" t="str"/>
      <x:c r="C176" s="146" t="str">
        <x:v>D038</x:v>
      </x:c>
      <x:c r="D176" s="112" t="str">
        <x:v>Reilia Dress</x:v>
      </x:c>
      <x:c r="E176" s="112" t="str">
        <x:v>Dress</x:v>
      </x:c>
      <x:c r="F176" s="112" t="str">
        <x:v>Red</x:v>
      </x:c>
      <x:c r="G176" s="146" t="str">
        <x:v>RED</x:v>
      </x:c>
      <x:c r="H176" s="146" t="str">
        <x:v>XL</x:v>
      </x:c>
      <x:c r="I176" s="147" t="n">
        <x:v>89</x:v>
      </x:c>
      <x:c r="J176" s="112" t="str">
        <x:v>US Warehouse</x:v>
      </x:c>
      <x:c r="K176" s="148" t="str"/>
      <x:c r="L176" s="148" t="str"/>
      <x:c r="M176" s="112" t="str">
        <x:v>Published</x:v>
      </x:c>
      <x:c r="N176" s="113" t="str">
        <x:v>https://www.klarelle.store/product/beb78048-8681-4af8-b6be-7babbbe9fc68</x:v>
      </x:c>
      <x:c r="O176" s="113" t="str">
        <x:v>Assign NJ bin if physically stocked</x:v>
      </x:c>
      <x:c r="P176" s="112" t="str">
        <x:f>A176</x:f>
        <x:v>KLA-D038-RED-XL</x:v>
      </x:c>
      <x:c r="Q176" s="112" t="str">
        <x:f>IF(COUNTIF($A$9:$A$303,A176)&gt;1,"DUPLICATE","OK")</x:f>
        <x:v>OK</x:v>
      </x:c>
    </x:row>
    <x:row r="177" ht="24" customHeight="1">
      <x:c r="A177" s="144" t="str">
        <x:f>IF(B177&lt;&gt;"",B177,"KLA-"&amp;C177&amp;"-"&amp;G177&amp;"-"&amp;H177)</x:f>
        <x:v>KLA-D038-WHT-L</x:v>
      </x:c>
      <x:c r="B177" s="145" t="str"/>
      <x:c r="C177" s="146" t="str">
        <x:v>D038</x:v>
      </x:c>
      <x:c r="D177" s="112" t="str">
        <x:v>Reilia Dress</x:v>
      </x:c>
      <x:c r="E177" s="112" t="str">
        <x:v>Dress</x:v>
      </x:c>
      <x:c r="F177" s="112" t="str">
        <x:v>White</x:v>
      </x:c>
      <x:c r="G177" s="146" t="str">
        <x:v>WHT</x:v>
      </x:c>
      <x:c r="H177" s="146" t="str">
        <x:v>L</x:v>
      </x:c>
      <x:c r="I177" s="147" t="n">
        <x:v>89</x:v>
      </x:c>
      <x:c r="J177" s="112" t="str">
        <x:v>US Warehouse</x:v>
      </x:c>
      <x:c r="K177" s="148" t="str"/>
      <x:c r="L177" s="148" t="str"/>
      <x:c r="M177" s="112" t="str">
        <x:v>Published</x:v>
      </x:c>
      <x:c r="N177" s="113" t="str">
        <x:v>https://www.klarelle.store/product/beb78048-8681-4af8-b6be-7babbbe9fc68</x:v>
      </x:c>
      <x:c r="O177" s="113" t="str">
        <x:v>Assign NJ bin if physically stocked</x:v>
      </x:c>
      <x:c r="P177" s="112" t="str">
        <x:f>A177</x:f>
        <x:v>KLA-D038-WHT-L</x:v>
      </x:c>
      <x:c r="Q177" s="112" t="str">
        <x:f>IF(COUNTIF($A$9:$A$303,A177)&gt;1,"DUPLICATE","OK")</x:f>
        <x:v>OK</x:v>
      </x:c>
    </x:row>
    <x:row r="178" ht="24" customHeight="1">
      <x:c r="A178" s="144" t="str">
        <x:f>IF(B178&lt;&gt;"",B178,"KLA-"&amp;C178&amp;"-"&amp;G178&amp;"-"&amp;H178)</x:f>
        <x:v>KLA-D038-WHT-M</x:v>
      </x:c>
      <x:c r="B178" s="145" t="str"/>
      <x:c r="C178" s="146" t="str">
        <x:v>D038</x:v>
      </x:c>
      <x:c r="D178" s="112" t="str">
        <x:v>Reilia Dress</x:v>
      </x:c>
      <x:c r="E178" s="112" t="str">
        <x:v>Dress</x:v>
      </x:c>
      <x:c r="F178" s="112" t="str">
        <x:v>White</x:v>
      </x:c>
      <x:c r="G178" s="146" t="str">
        <x:v>WHT</x:v>
      </x:c>
      <x:c r="H178" s="146" t="str">
        <x:v>M</x:v>
      </x:c>
      <x:c r="I178" s="147" t="n">
        <x:v>89</x:v>
      </x:c>
      <x:c r="J178" s="112" t="str">
        <x:v>US Warehouse</x:v>
      </x:c>
      <x:c r="K178" s="148" t="str"/>
      <x:c r="L178" s="148" t="str"/>
      <x:c r="M178" s="112" t="str">
        <x:v>Published</x:v>
      </x:c>
      <x:c r="N178" s="113" t="str">
        <x:v>https://www.klarelle.store/product/beb78048-8681-4af8-b6be-7babbbe9fc68</x:v>
      </x:c>
      <x:c r="O178" s="113" t="str">
        <x:v>Assign NJ bin if physically stocked</x:v>
      </x:c>
      <x:c r="P178" s="112" t="str">
        <x:f>A178</x:f>
        <x:v>KLA-D038-WHT-M</x:v>
      </x:c>
      <x:c r="Q178" s="112" t="str">
        <x:f>IF(COUNTIF($A$9:$A$303,A178)&gt;1,"DUPLICATE","OK")</x:f>
        <x:v>OK</x:v>
      </x:c>
    </x:row>
    <x:row r="179" ht="24" customHeight="1">
      <x:c r="A179" s="144" t="str">
        <x:f>IF(B179&lt;&gt;"",B179,"KLA-"&amp;C179&amp;"-"&amp;G179&amp;"-"&amp;H179)</x:f>
        <x:v>KLA-D038-WHT-S</x:v>
      </x:c>
      <x:c r="B179" s="145" t="str"/>
      <x:c r="C179" s="146" t="str">
        <x:v>D038</x:v>
      </x:c>
      <x:c r="D179" s="112" t="str">
        <x:v>Reilia Dress</x:v>
      </x:c>
      <x:c r="E179" s="112" t="str">
        <x:v>Dress</x:v>
      </x:c>
      <x:c r="F179" s="112" t="str">
        <x:v>White</x:v>
      </x:c>
      <x:c r="G179" s="146" t="str">
        <x:v>WHT</x:v>
      </x:c>
      <x:c r="H179" s="146" t="str">
        <x:v>S</x:v>
      </x:c>
      <x:c r="I179" s="147" t="n">
        <x:v>89</x:v>
      </x:c>
      <x:c r="J179" s="112" t="str">
        <x:v>US Warehouse</x:v>
      </x:c>
      <x:c r="K179" s="148" t="str"/>
      <x:c r="L179" s="148" t="str"/>
      <x:c r="M179" s="112" t="str">
        <x:v>Published</x:v>
      </x:c>
      <x:c r="N179" s="113" t="str">
        <x:v>https://www.klarelle.store/product/beb78048-8681-4af8-b6be-7babbbe9fc68</x:v>
      </x:c>
      <x:c r="O179" s="113" t="str">
        <x:v>Assign NJ bin if physically stocked</x:v>
      </x:c>
      <x:c r="P179" s="112" t="str">
        <x:f>A179</x:f>
        <x:v>KLA-D038-WHT-S</x:v>
      </x:c>
      <x:c r="Q179" s="112" t="str">
        <x:f>IF(COUNTIF($A$9:$A$303,A179)&gt;1,"DUPLICATE","OK")</x:f>
        <x:v>OK</x:v>
      </x:c>
    </x:row>
    <x:row r="180" ht="24" customHeight="1">
      <x:c r="A180" s="144" t="str">
        <x:f>IF(B180&lt;&gt;"",B180,"KLA-"&amp;C180&amp;"-"&amp;G180&amp;"-"&amp;H180)</x:f>
        <x:v>KLA-D038-WHT-XL</x:v>
      </x:c>
      <x:c r="B180" s="145" t="str"/>
      <x:c r="C180" s="146" t="str">
        <x:v>D038</x:v>
      </x:c>
      <x:c r="D180" s="112" t="str">
        <x:v>Reilia Dress</x:v>
      </x:c>
      <x:c r="E180" s="112" t="str">
        <x:v>Dress</x:v>
      </x:c>
      <x:c r="F180" s="112" t="str">
        <x:v>White</x:v>
      </x:c>
      <x:c r="G180" s="146" t="str">
        <x:v>WHT</x:v>
      </x:c>
      <x:c r="H180" s="146" t="str">
        <x:v>XL</x:v>
      </x:c>
      <x:c r="I180" s="147" t="n">
        <x:v>89</x:v>
      </x:c>
      <x:c r="J180" s="112" t="str">
        <x:v>US Warehouse</x:v>
      </x:c>
      <x:c r="K180" s="148" t="str"/>
      <x:c r="L180" s="148" t="str"/>
      <x:c r="M180" s="112" t="str">
        <x:v>Published</x:v>
      </x:c>
      <x:c r="N180" s="113" t="str">
        <x:v>https://www.klarelle.store/product/beb78048-8681-4af8-b6be-7babbbe9fc68</x:v>
      </x:c>
      <x:c r="O180" s="113" t="str">
        <x:v>Assign NJ bin if physically stocked</x:v>
      </x:c>
      <x:c r="P180" s="112" t="str">
        <x:f>A180</x:f>
        <x:v>KLA-D038-WHT-XL</x:v>
      </x:c>
      <x:c r="Q180" s="112" t="str">
        <x:f>IF(COUNTIF($A$9:$A$303,A180)&gt;1,"DUPLICATE","OK")</x:f>
        <x:v>OK</x:v>
      </x:c>
    </x:row>
    <x:row r="181" ht="24" customHeight="1">
      <x:c r="A181" s="144" t="str">
        <x:f>IF(B181&lt;&gt;"",B181,"KLA-"&amp;C181&amp;"-"&amp;G181&amp;"-"&amp;H181)</x:f>
        <x:v>KLA-D039-BLK-L</x:v>
      </x:c>
      <x:c r="B181" s="145" t="str"/>
      <x:c r="C181" s="146" t="str">
        <x:v>D039</x:v>
      </x:c>
      <x:c r="D181" s="112" t="str">
        <x:v>Lenora Noir Gown</x:v>
      </x:c>
      <x:c r="E181" s="112" t="str">
        <x:v>Dress</x:v>
      </x:c>
      <x:c r="F181" s="112" t="str">
        <x:v>Black</x:v>
      </x:c>
      <x:c r="G181" s="146" t="str">
        <x:v>BLK</x:v>
      </x:c>
      <x:c r="H181" s="146" t="str">
        <x:v>L</x:v>
      </x:c>
      <x:c r="I181" s="147" t="n">
        <x:v>99</x:v>
      </x:c>
      <x:c r="J181" s="112" t="str">
        <x:v>US Warehouse</x:v>
      </x:c>
      <x:c r="K181" s="148" t="str"/>
      <x:c r="L181" s="148" t="str"/>
      <x:c r="M181" s="112" t="str">
        <x:v>Published</x:v>
      </x:c>
      <x:c r="N181" s="113" t="str">
        <x:v>https://www.klarelle.store/product/b4296447-ac50-4353-8421-e5ac2e699d8d</x:v>
      </x:c>
      <x:c r="O181" s="113" t="str">
        <x:v>Assign NJ bin if physically stocked</x:v>
      </x:c>
      <x:c r="P181" s="112" t="str">
        <x:f>A181</x:f>
        <x:v>KLA-D039-BLK-L</x:v>
      </x:c>
      <x:c r="Q181" s="112" t="str">
        <x:f>IF(COUNTIF($A$9:$A$303,A181)&gt;1,"DUPLICATE","OK")</x:f>
        <x:v>OK</x:v>
      </x:c>
    </x:row>
    <x:row r="182" ht="24" customHeight="1">
      <x:c r="A182" s="144" t="str">
        <x:f>IF(B182&lt;&gt;"",B182,"KLA-"&amp;C182&amp;"-"&amp;G182&amp;"-"&amp;H182)</x:f>
        <x:v>KLA-D039-BLK-M</x:v>
      </x:c>
      <x:c r="B182" s="145" t="str"/>
      <x:c r="C182" s="146" t="str">
        <x:v>D039</x:v>
      </x:c>
      <x:c r="D182" s="112" t="str">
        <x:v>Lenora Noir Gown</x:v>
      </x:c>
      <x:c r="E182" s="112" t="str">
        <x:v>Dress</x:v>
      </x:c>
      <x:c r="F182" s="112" t="str">
        <x:v>Black</x:v>
      </x:c>
      <x:c r="G182" s="146" t="str">
        <x:v>BLK</x:v>
      </x:c>
      <x:c r="H182" s="146" t="str">
        <x:v>M</x:v>
      </x:c>
      <x:c r="I182" s="147" t="n">
        <x:v>99</x:v>
      </x:c>
      <x:c r="J182" s="112" t="str">
        <x:v>US Warehouse</x:v>
      </x:c>
      <x:c r="K182" s="148" t="str"/>
      <x:c r="L182" s="148" t="str"/>
      <x:c r="M182" s="112" t="str">
        <x:v>Published</x:v>
      </x:c>
      <x:c r="N182" s="113" t="str">
        <x:v>https://www.klarelle.store/product/b4296447-ac50-4353-8421-e5ac2e699d8d</x:v>
      </x:c>
      <x:c r="O182" s="113" t="str">
        <x:v>Assign NJ bin if physically stocked</x:v>
      </x:c>
      <x:c r="P182" s="112" t="str">
        <x:f>A182</x:f>
        <x:v>KLA-D039-BLK-M</x:v>
      </x:c>
      <x:c r="Q182" s="112" t="str">
        <x:f>IF(COUNTIF($A$9:$A$303,A182)&gt;1,"DUPLICATE","OK")</x:f>
        <x:v>OK</x:v>
      </x:c>
    </x:row>
    <x:row r="183" ht="24" customHeight="1">
      <x:c r="A183" s="144" t="str">
        <x:f>IF(B183&lt;&gt;"",B183,"KLA-"&amp;C183&amp;"-"&amp;G183&amp;"-"&amp;H183)</x:f>
        <x:v>KLA-D039-BLK-S</x:v>
      </x:c>
      <x:c r="B183" s="145" t="str"/>
      <x:c r="C183" s="146" t="str">
        <x:v>D039</x:v>
      </x:c>
      <x:c r="D183" s="112" t="str">
        <x:v>Lenora Noir Gown</x:v>
      </x:c>
      <x:c r="E183" s="112" t="str">
        <x:v>Dress</x:v>
      </x:c>
      <x:c r="F183" s="112" t="str">
        <x:v>Black</x:v>
      </x:c>
      <x:c r="G183" s="146" t="str">
        <x:v>BLK</x:v>
      </x:c>
      <x:c r="H183" s="146" t="str">
        <x:v>S</x:v>
      </x:c>
      <x:c r="I183" s="147" t="n">
        <x:v>99</x:v>
      </x:c>
      <x:c r="J183" s="112" t="str">
        <x:v>US Warehouse</x:v>
      </x:c>
      <x:c r="K183" s="148" t="str"/>
      <x:c r="L183" s="148" t="str"/>
      <x:c r="M183" s="112" t="str">
        <x:v>Published</x:v>
      </x:c>
      <x:c r="N183" s="113" t="str">
        <x:v>https://www.klarelle.store/product/b4296447-ac50-4353-8421-e5ac2e699d8d</x:v>
      </x:c>
      <x:c r="O183" s="113" t="str">
        <x:v>Assign NJ bin if physically stocked</x:v>
      </x:c>
      <x:c r="P183" s="112" t="str">
        <x:f>A183</x:f>
        <x:v>KLA-D039-BLK-S</x:v>
      </x:c>
      <x:c r="Q183" s="112" t="str">
        <x:f>IF(COUNTIF($A$9:$A$303,A183)&gt;1,"DUPLICATE","OK")</x:f>
        <x:v>OK</x:v>
      </x:c>
    </x:row>
    <x:row r="184" ht="24" customHeight="1">
      <x:c r="A184" s="144" t="str">
        <x:f>IF(B184&lt;&gt;"",B184,"KLA-"&amp;C184&amp;"-"&amp;G184&amp;"-"&amp;H184)</x:f>
        <x:v>KLA-D039-BLK-XL</x:v>
      </x:c>
      <x:c r="B184" s="145" t="str"/>
      <x:c r="C184" s="146" t="str">
        <x:v>D039</x:v>
      </x:c>
      <x:c r="D184" s="112" t="str">
        <x:v>Lenora Noir Gown</x:v>
      </x:c>
      <x:c r="E184" s="112" t="str">
        <x:v>Dress</x:v>
      </x:c>
      <x:c r="F184" s="112" t="str">
        <x:v>Black</x:v>
      </x:c>
      <x:c r="G184" s="146" t="str">
        <x:v>BLK</x:v>
      </x:c>
      <x:c r="H184" s="146" t="str">
        <x:v>XL</x:v>
      </x:c>
      <x:c r="I184" s="147" t="n">
        <x:v>99</x:v>
      </x:c>
      <x:c r="J184" s="112" t="str">
        <x:v>US Warehouse</x:v>
      </x:c>
      <x:c r="K184" s="148" t="str"/>
      <x:c r="L184" s="148" t="str"/>
      <x:c r="M184" s="112" t="str">
        <x:v>Published</x:v>
      </x:c>
      <x:c r="N184" s="113" t="str">
        <x:v>https://www.klarelle.store/product/b4296447-ac50-4353-8421-e5ac2e699d8d</x:v>
      </x:c>
      <x:c r="O184" s="113" t="str">
        <x:v>Assign NJ bin if physically stocked</x:v>
      </x:c>
      <x:c r="P184" s="112" t="str">
        <x:f>A184</x:f>
        <x:v>KLA-D039-BLK-XL</x:v>
      </x:c>
      <x:c r="Q184" s="112" t="str">
        <x:f>IF(COUNTIF($A$9:$A$303,A184)&gt;1,"DUPLICATE","OK")</x:f>
        <x:v>OK</x:v>
      </x:c>
    </x:row>
    <x:row r="185" ht="24" customHeight="1">
      <x:c r="A185" s="144" t="str">
        <x:f>IF(B185&lt;&gt;"",B185,"KLA-"&amp;C185&amp;"-"&amp;G185&amp;"-"&amp;H185)</x:f>
        <x:v>KLA-D039-BLK-XXL</x:v>
      </x:c>
      <x:c r="B185" s="145" t="str"/>
      <x:c r="C185" s="146" t="str">
        <x:v>D039</x:v>
      </x:c>
      <x:c r="D185" s="112" t="str">
        <x:v>Lenora Noir Gown</x:v>
      </x:c>
      <x:c r="E185" s="112" t="str">
        <x:v>Dress</x:v>
      </x:c>
      <x:c r="F185" s="112" t="str">
        <x:v>Black</x:v>
      </x:c>
      <x:c r="G185" s="146" t="str">
        <x:v>BLK</x:v>
      </x:c>
      <x:c r="H185" s="146" t="str">
        <x:v>XXL</x:v>
      </x:c>
      <x:c r="I185" s="147" t="n">
        <x:v>99</x:v>
      </x:c>
      <x:c r="J185" s="112" t="str">
        <x:v>US Warehouse</x:v>
      </x:c>
      <x:c r="K185" s="148" t="str"/>
      <x:c r="L185" s="148" t="str"/>
      <x:c r="M185" s="112" t="str">
        <x:v>Published</x:v>
      </x:c>
      <x:c r="N185" s="113" t="str">
        <x:v>https://www.klarelle.store/product/b4296447-ac50-4353-8421-e5ac2e699d8d</x:v>
      </x:c>
      <x:c r="O185" s="113" t="str">
        <x:v>Assign NJ bin if physically stocked</x:v>
      </x:c>
      <x:c r="P185" s="112" t="str">
        <x:f>A185</x:f>
        <x:v>KLA-D039-BLK-XXL</x:v>
      </x:c>
      <x:c r="Q185" s="112" t="str">
        <x:f>IF(COUNTIF($A$9:$A$303,A185)&gt;1,"DUPLICATE","OK")</x:f>
        <x:v>OK</x:v>
      </x:c>
    </x:row>
    <x:row r="186" ht="24" customHeight="1">
      <x:c r="A186" s="144" t="str">
        <x:f>IF(B186&lt;&gt;"",B186,"KLA-"&amp;C186&amp;"-"&amp;G186&amp;"-"&amp;H186)</x:f>
        <x:v>KLA-D040-RED-L</x:v>
      </x:c>
      <x:c r="B186" s="145" t="str"/>
      <x:c r="C186" s="146" t="str">
        <x:v>D040</x:v>
      </x:c>
      <x:c r="D186" s="112" t="str">
        <x:v>Rubielle Éclat Gown</x:v>
      </x:c>
      <x:c r="E186" s="112" t="str">
        <x:v>Dress</x:v>
      </x:c>
      <x:c r="F186" s="112" t="str">
        <x:v>Red</x:v>
      </x:c>
      <x:c r="G186" s="146" t="str">
        <x:v>RED</x:v>
      </x:c>
      <x:c r="H186" s="146" t="str">
        <x:v>L</x:v>
      </x:c>
      <x:c r="I186" s="147" t="n">
        <x:v>95</x:v>
      </x:c>
      <x:c r="J186" s="112" t="str">
        <x:v>US Warehouse</x:v>
      </x:c>
      <x:c r="K186" s="148" t="str"/>
      <x:c r="L186" s="148" t="str"/>
      <x:c r="M186" s="112" t="str">
        <x:v>Published</x:v>
      </x:c>
      <x:c r="N186" s="113" t="str">
        <x:v>https://www.klarelle.store/product/27ad571e-c729-4c1e-8ff1-c8be9486c280</x:v>
      </x:c>
      <x:c r="O186" s="113" t="str">
        <x:v>Assign NJ bin if physically stocked</x:v>
      </x:c>
      <x:c r="P186" s="112" t="str">
        <x:f>A186</x:f>
        <x:v>KLA-D040-RED-L</x:v>
      </x:c>
      <x:c r="Q186" s="112" t="str">
        <x:f>IF(COUNTIF($A$9:$A$303,A186)&gt;1,"DUPLICATE","OK")</x:f>
        <x:v>OK</x:v>
      </x:c>
    </x:row>
    <x:row r="187" ht="24" customHeight="1">
      <x:c r="A187" s="144" t="str">
        <x:f>IF(B187&lt;&gt;"",B187,"KLA-"&amp;C187&amp;"-"&amp;G187&amp;"-"&amp;H187)</x:f>
        <x:v>KLA-D040-RED-M</x:v>
      </x:c>
      <x:c r="B187" s="145" t="str"/>
      <x:c r="C187" s="146" t="str">
        <x:v>D040</x:v>
      </x:c>
      <x:c r="D187" s="112" t="str">
        <x:v>Rubielle Éclat Gown</x:v>
      </x:c>
      <x:c r="E187" s="112" t="str">
        <x:v>Dress</x:v>
      </x:c>
      <x:c r="F187" s="112" t="str">
        <x:v>Red</x:v>
      </x:c>
      <x:c r="G187" s="146" t="str">
        <x:v>RED</x:v>
      </x:c>
      <x:c r="H187" s="146" t="str">
        <x:v>M</x:v>
      </x:c>
      <x:c r="I187" s="147" t="n">
        <x:v>95</x:v>
      </x:c>
      <x:c r="J187" s="112" t="str">
        <x:v>US Warehouse</x:v>
      </x:c>
      <x:c r="K187" s="148" t="str"/>
      <x:c r="L187" s="148" t="str"/>
      <x:c r="M187" s="112" t="str">
        <x:v>Published</x:v>
      </x:c>
      <x:c r="N187" s="113" t="str">
        <x:v>https://www.klarelle.store/product/27ad571e-c729-4c1e-8ff1-c8be9486c280</x:v>
      </x:c>
      <x:c r="O187" s="113" t="str">
        <x:v>Assign NJ bin if physically stocked</x:v>
      </x:c>
      <x:c r="P187" s="112" t="str">
        <x:f>A187</x:f>
        <x:v>KLA-D040-RED-M</x:v>
      </x:c>
      <x:c r="Q187" s="112" t="str">
        <x:f>IF(COUNTIF($A$9:$A$303,A187)&gt;1,"DUPLICATE","OK")</x:f>
        <x:v>OK</x:v>
      </x:c>
    </x:row>
    <x:row r="188" ht="24" customHeight="1">
      <x:c r="A188" s="144" t="str">
        <x:f>IF(B188&lt;&gt;"",B188,"KLA-"&amp;C188&amp;"-"&amp;G188&amp;"-"&amp;H188)</x:f>
        <x:v>KLA-D040-RED-S</x:v>
      </x:c>
      <x:c r="B188" s="145" t="str"/>
      <x:c r="C188" s="146" t="str">
        <x:v>D040</x:v>
      </x:c>
      <x:c r="D188" s="112" t="str">
        <x:v>Rubielle Éclat Gown</x:v>
      </x:c>
      <x:c r="E188" s="112" t="str">
        <x:v>Dress</x:v>
      </x:c>
      <x:c r="F188" s="112" t="str">
        <x:v>Red</x:v>
      </x:c>
      <x:c r="G188" s="146" t="str">
        <x:v>RED</x:v>
      </x:c>
      <x:c r="H188" s="146" t="str">
        <x:v>S</x:v>
      </x:c>
      <x:c r="I188" s="147" t="n">
        <x:v>95</x:v>
      </x:c>
      <x:c r="J188" s="112" t="str">
        <x:v>US Warehouse</x:v>
      </x:c>
      <x:c r="K188" s="148" t="str"/>
      <x:c r="L188" s="148" t="str"/>
      <x:c r="M188" s="112" t="str">
        <x:v>Published</x:v>
      </x:c>
      <x:c r="N188" s="113" t="str">
        <x:v>https://www.klarelle.store/product/27ad571e-c729-4c1e-8ff1-c8be9486c280</x:v>
      </x:c>
      <x:c r="O188" s="113" t="str">
        <x:v>Assign NJ bin if physically stocked</x:v>
      </x:c>
      <x:c r="P188" s="112" t="str">
        <x:f>A188</x:f>
        <x:v>KLA-D040-RED-S</x:v>
      </x:c>
      <x:c r="Q188" s="112" t="str">
        <x:f>IF(COUNTIF($A$9:$A$303,A188)&gt;1,"DUPLICATE","OK")</x:f>
        <x:v>OK</x:v>
      </x:c>
    </x:row>
    <x:row r="189" ht="24" customHeight="1">
      <x:c r="A189" s="144" t="str">
        <x:f>IF(B189&lt;&gt;"",B189,"KLA-"&amp;C189&amp;"-"&amp;G189&amp;"-"&amp;H189)</x:f>
        <x:v>KLA-D040-RED-XL</x:v>
      </x:c>
      <x:c r="B189" s="145" t="str"/>
      <x:c r="C189" s="146" t="str">
        <x:v>D040</x:v>
      </x:c>
      <x:c r="D189" s="112" t="str">
        <x:v>Rubielle Éclat Gown</x:v>
      </x:c>
      <x:c r="E189" s="112" t="str">
        <x:v>Dress</x:v>
      </x:c>
      <x:c r="F189" s="112" t="str">
        <x:v>Red</x:v>
      </x:c>
      <x:c r="G189" s="146" t="str">
        <x:v>RED</x:v>
      </x:c>
      <x:c r="H189" s="146" t="str">
        <x:v>XL</x:v>
      </x:c>
      <x:c r="I189" s="147" t="n">
        <x:v>95</x:v>
      </x:c>
      <x:c r="J189" s="112" t="str">
        <x:v>US Warehouse</x:v>
      </x:c>
      <x:c r="K189" s="148" t="str"/>
      <x:c r="L189" s="148" t="str"/>
      <x:c r="M189" s="112" t="str">
        <x:v>Published</x:v>
      </x:c>
      <x:c r="N189" s="113" t="str">
        <x:v>https://www.klarelle.store/product/27ad571e-c729-4c1e-8ff1-c8be9486c280</x:v>
      </x:c>
      <x:c r="O189" s="113" t="str">
        <x:v>Assign NJ bin if physically stocked</x:v>
      </x:c>
      <x:c r="P189" s="112" t="str">
        <x:f>A189</x:f>
        <x:v>KLA-D040-RED-XL</x:v>
      </x:c>
      <x:c r="Q189" s="112" t="str">
        <x:f>IF(COUNTIF($A$9:$A$303,A189)&gt;1,"DUPLICATE","OK")</x:f>
        <x:v>OK</x:v>
      </x:c>
    </x:row>
    <x:row r="190" ht="24" customHeight="1">
      <x:c r="A190" s="144" t="str">
        <x:f>IF(B190&lt;&gt;"",B190,"KLA-"&amp;C190&amp;"-"&amp;G190&amp;"-"&amp;H190)</x:f>
        <x:v>KLA-D040-RED-XXL</x:v>
      </x:c>
      <x:c r="B190" s="145" t="str"/>
      <x:c r="C190" s="146" t="str">
        <x:v>D040</x:v>
      </x:c>
      <x:c r="D190" s="112" t="str">
        <x:v>Rubielle Éclat Gown</x:v>
      </x:c>
      <x:c r="E190" s="112" t="str">
        <x:v>Dress</x:v>
      </x:c>
      <x:c r="F190" s="112" t="str">
        <x:v>Red</x:v>
      </x:c>
      <x:c r="G190" s="146" t="str">
        <x:v>RED</x:v>
      </x:c>
      <x:c r="H190" s="146" t="str">
        <x:v>XXL</x:v>
      </x:c>
      <x:c r="I190" s="147" t="n">
        <x:v>95</x:v>
      </x:c>
      <x:c r="J190" s="112" t="str">
        <x:v>US Warehouse</x:v>
      </x:c>
      <x:c r="K190" s="148" t="str"/>
      <x:c r="L190" s="148" t="str"/>
      <x:c r="M190" s="112" t="str">
        <x:v>Published</x:v>
      </x:c>
      <x:c r="N190" s="113" t="str">
        <x:v>https://www.klarelle.store/product/27ad571e-c729-4c1e-8ff1-c8be9486c280</x:v>
      </x:c>
      <x:c r="O190" s="113" t="str">
        <x:v>Assign NJ bin if physically stocked</x:v>
      </x:c>
      <x:c r="P190" s="112" t="str">
        <x:f>A190</x:f>
        <x:v>KLA-D040-RED-XXL</x:v>
      </x:c>
      <x:c r="Q190" s="112" t="str">
        <x:f>IF(COUNTIF($A$9:$A$303,A190)&gt;1,"DUPLICATE","OK")</x:f>
        <x:v>OK</x:v>
      </x:c>
    </x:row>
    <x:row r="191" ht="24" customHeight="1">
      <x:c r="A191" s="144" t="str">
        <x:f>IF(B191&lt;&gt;"",B191,"KLA-"&amp;C191&amp;"-"&amp;G191&amp;"-"&amp;H191)</x:f>
        <x:v>KLA-D041-RED-L</x:v>
      </x:c>
      <x:c r="B191" s="145" t="str"/>
      <x:c r="C191" s="146" t="str">
        <x:v>D041</x:v>
      </x:c>
      <x:c r="D191" s="112" t="str">
        <x:v>Virelle Rosé Gown</x:v>
      </x:c>
      <x:c r="E191" s="112" t="str">
        <x:v>Dress</x:v>
      </x:c>
      <x:c r="F191" s="112" t="str">
        <x:v>Red</x:v>
      </x:c>
      <x:c r="G191" s="146" t="str">
        <x:v>RED</x:v>
      </x:c>
      <x:c r="H191" s="146" t="str">
        <x:v>L</x:v>
      </x:c>
      <x:c r="I191" s="147" t="n">
        <x:v>95</x:v>
      </x:c>
      <x:c r="J191" s="112" t="str">
        <x:v>US Warehouse</x:v>
      </x:c>
      <x:c r="K191" s="148" t="str"/>
      <x:c r="L191" s="148" t="str"/>
      <x:c r="M191" s="112" t="str">
        <x:v>Published</x:v>
      </x:c>
      <x:c r="N191" s="113" t="str">
        <x:v>https://www.klarelle.store/product/28383451-fb2b-439a-948d-6e40afd52feb</x:v>
      </x:c>
      <x:c r="O191" s="113" t="str">
        <x:v>Assign NJ bin if physically stocked</x:v>
      </x:c>
      <x:c r="P191" s="112" t="str">
        <x:f>A191</x:f>
        <x:v>KLA-D041-RED-L</x:v>
      </x:c>
      <x:c r="Q191" s="112" t="str">
        <x:f>IF(COUNTIF($A$9:$A$303,A191)&gt;1,"DUPLICATE","OK")</x:f>
        <x:v>OK</x:v>
      </x:c>
    </x:row>
    <x:row r="192" ht="24" customHeight="1">
      <x:c r="A192" s="144" t="str">
        <x:f>IF(B192&lt;&gt;"",B192,"KLA-"&amp;C192&amp;"-"&amp;G192&amp;"-"&amp;H192)</x:f>
        <x:v>KLA-D041-RED-M</x:v>
      </x:c>
      <x:c r="B192" s="145" t="str"/>
      <x:c r="C192" s="146" t="str">
        <x:v>D041</x:v>
      </x:c>
      <x:c r="D192" s="112" t="str">
        <x:v>Virelle Rosé Gown</x:v>
      </x:c>
      <x:c r="E192" s="112" t="str">
        <x:v>Dress</x:v>
      </x:c>
      <x:c r="F192" s="112" t="str">
        <x:v>Red</x:v>
      </x:c>
      <x:c r="G192" s="146" t="str">
        <x:v>RED</x:v>
      </x:c>
      <x:c r="H192" s="146" t="str">
        <x:v>M</x:v>
      </x:c>
      <x:c r="I192" s="147" t="n">
        <x:v>95</x:v>
      </x:c>
      <x:c r="J192" s="112" t="str">
        <x:v>US Warehouse</x:v>
      </x:c>
      <x:c r="K192" s="148" t="str"/>
      <x:c r="L192" s="148" t="str"/>
      <x:c r="M192" s="112" t="str">
        <x:v>Published</x:v>
      </x:c>
      <x:c r="N192" s="113" t="str">
        <x:v>https://www.klarelle.store/product/28383451-fb2b-439a-948d-6e40afd52feb</x:v>
      </x:c>
      <x:c r="O192" s="113" t="str">
        <x:v>Assign NJ bin if physically stocked</x:v>
      </x:c>
      <x:c r="P192" s="112" t="str">
        <x:f>A192</x:f>
        <x:v>KLA-D041-RED-M</x:v>
      </x:c>
      <x:c r="Q192" s="112" t="str">
        <x:f>IF(COUNTIF($A$9:$A$303,A192)&gt;1,"DUPLICATE","OK")</x:f>
        <x:v>OK</x:v>
      </x:c>
    </x:row>
    <x:row r="193" ht="24" customHeight="1">
      <x:c r="A193" s="144" t="str">
        <x:f>IF(B193&lt;&gt;"",B193,"KLA-"&amp;C193&amp;"-"&amp;G193&amp;"-"&amp;H193)</x:f>
        <x:v>KLA-D041-RED-S</x:v>
      </x:c>
      <x:c r="B193" s="145" t="str"/>
      <x:c r="C193" s="146" t="str">
        <x:v>D041</x:v>
      </x:c>
      <x:c r="D193" s="112" t="str">
        <x:v>Virelle Rosé Gown</x:v>
      </x:c>
      <x:c r="E193" s="112" t="str">
        <x:v>Dress</x:v>
      </x:c>
      <x:c r="F193" s="112" t="str">
        <x:v>Red</x:v>
      </x:c>
      <x:c r="G193" s="146" t="str">
        <x:v>RED</x:v>
      </x:c>
      <x:c r="H193" s="146" t="str">
        <x:v>S</x:v>
      </x:c>
      <x:c r="I193" s="147" t="n">
        <x:v>95</x:v>
      </x:c>
      <x:c r="J193" s="112" t="str">
        <x:v>US Warehouse</x:v>
      </x:c>
      <x:c r="K193" s="148" t="str"/>
      <x:c r="L193" s="148" t="str"/>
      <x:c r="M193" s="112" t="str">
        <x:v>Published</x:v>
      </x:c>
      <x:c r="N193" s="113" t="str">
        <x:v>https://www.klarelle.store/product/28383451-fb2b-439a-948d-6e40afd52feb</x:v>
      </x:c>
      <x:c r="O193" s="113" t="str">
        <x:v>Assign NJ bin if physically stocked</x:v>
      </x:c>
      <x:c r="P193" s="112" t="str">
        <x:f>A193</x:f>
        <x:v>KLA-D041-RED-S</x:v>
      </x:c>
      <x:c r="Q193" s="112" t="str">
        <x:f>IF(COUNTIF($A$9:$A$303,A193)&gt;1,"DUPLICATE","OK")</x:f>
        <x:v>OK</x:v>
      </x:c>
    </x:row>
    <x:row r="194" ht="24" customHeight="1">
      <x:c r="A194" s="144" t="str">
        <x:f>IF(B194&lt;&gt;"",B194,"KLA-"&amp;C194&amp;"-"&amp;G194&amp;"-"&amp;H194)</x:f>
        <x:v>KLA-D041-RED-XL</x:v>
      </x:c>
      <x:c r="B194" s="145" t="str"/>
      <x:c r="C194" s="146" t="str">
        <x:v>D041</x:v>
      </x:c>
      <x:c r="D194" s="112" t="str">
        <x:v>Virelle Rosé Gown</x:v>
      </x:c>
      <x:c r="E194" s="112" t="str">
        <x:v>Dress</x:v>
      </x:c>
      <x:c r="F194" s="112" t="str">
        <x:v>Red</x:v>
      </x:c>
      <x:c r="G194" s="146" t="str">
        <x:v>RED</x:v>
      </x:c>
      <x:c r="H194" s="146" t="str">
        <x:v>XL</x:v>
      </x:c>
      <x:c r="I194" s="147" t="n">
        <x:v>95</x:v>
      </x:c>
      <x:c r="J194" s="112" t="str">
        <x:v>US Warehouse</x:v>
      </x:c>
      <x:c r="K194" s="148" t="str"/>
      <x:c r="L194" s="148" t="str"/>
      <x:c r="M194" s="112" t="str">
        <x:v>Published</x:v>
      </x:c>
      <x:c r="N194" s="113" t="str">
        <x:v>https://www.klarelle.store/product/28383451-fb2b-439a-948d-6e40afd52feb</x:v>
      </x:c>
      <x:c r="O194" s="113" t="str">
        <x:v>Assign NJ bin if physically stocked</x:v>
      </x:c>
      <x:c r="P194" s="112" t="str">
        <x:f>A194</x:f>
        <x:v>KLA-D041-RED-XL</x:v>
      </x:c>
      <x:c r="Q194" s="112" t="str">
        <x:f>IF(COUNTIF($A$9:$A$303,A194)&gt;1,"DUPLICATE","OK")</x:f>
        <x:v>OK</x:v>
      </x:c>
    </x:row>
    <x:row r="195" ht="24" customHeight="1">
      <x:c r="A195" s="144" t="str">
        <x:f>IF(B195&lt;&gt;"",B195,"KLA-"&amp;C195&amp;"-"&amp;G195&amp;"-"&amp;H195)</x:f>
        <x:v>KLA-D041-WIN-L</x:v>
      </x:c>
      <x:c r="B195" s="145" t="str"/>
      <x:c r="C195" s="146" t="str">
        <x:v>D041</x:v>
      </x:c>
      <x:c r="D195" s="112" t="str">
        <x:v>Virelle Rosé Gown</x:v>
      </x:c>
      <x:c r="E195" s="112" t="str">
        <x:v>Dress</x:v>
      </x:c>
      <x:c r="F195" s="112" t="str">
        <x:v>Wine</x:v>
      </x:c>
      <x:c r="G195" s="146" t="str">
        <x:v>WIN</x:v>
      </x:c>
      <x:c r="H195" s="146" t="str">
        <x:v>L</x:v>
      </x:c>
      <x:c r="I195" s="147" t="n">
        <x:v>95</x:v>
      </x:c>
      <x:c r="J195" s="112" t="str">
        <x:v>US Warehouse</x:v>
      </x:c>
      <x:c r="K195" s="148" t="str"/>
      <x:c r="L195" s="148" t="str"/>
      <x:c r="M195" s="112" t="str">
        <x:v>Published</x:v>
      </x:c>
      <x:c r="N195" s="113" t="str">
        <x:v>https://www.klarelle.store/product/28383451-fb2b-439a-948d-6e40afd52feb</x:v>
      </x:c>
      <x:c r="O195" s="113" t="str">
        <x:v>Assign NJ bin if physically stocked</x:v>
      </x:c>
      <x:c r="P195" s="112" t="str">
        <x:f>A195</x:f>
        <x:v>KLA-D041-WIN-L</x:v>
      </x:c>
      <x:c r="Q195" s="112" t="str">
        <x:f>IF(COUNTIF($A$9:$A$303,A195)&gt;1,"DUPLICATE","OK")</x:f>
        <x:v>OK</x:v>
      </x:c>
    </x:row>
    <x:row r="196" ht="24" customHeight="1">
      <x:c r="A196" s="144" t="str">
        <x:f>IF(B196&lt;&gt;"",B196,"KLA-"&amp;C196&amp;"-"&amp;G196&amp;"-"&amp;H196)</x:f>
        <x:v>KLA-D041-WIN-M</x:v>
      </x:c>
      <x:c r="B196" s="145" t="str"/>
      <x:c r="C196" s="146" t="str">
        <x:v>D041</x:v>
      </x:c>
      <x:c r="D196" s="112" t="str">
        <x:v>Virelle Rosé Gown</x:v>
      </x:c>
      <x:c r="E196" s="112" t="str">
        <x:v>Dress</x:v>
      </x:c>
      <x:c r="F196" s="112" t="str">
        <x:v>Wine</x:v>
      </x:c>
      <x:c r="G196" s="146" t="str">
        <x:v>WIN</x:v>
      </x:c>
      <x:c r="H196" s="146" t="str">
        <x:v>M</x:v>
      </x:c>
      <x:c r="I196" s="147" t="n">
        <x:v>95</x:v>
      </x:c>
      <x:c r="J196" s="112" t="str">
        <x:v>US Warehouse</x:v>
      </x:c>
      <x:c r="K196" s="148" t="str"/>
      <x:c r="L196" s="148" t="str"/>
      <x:c r="M196" s="112" t="str">
        <x:v>Published</x:v>
      </x:c>
      <x:c r="N196" s="113" t="str">
        <x:v>https://www.klarelle.store/product/28383451-fb2b-439a-948d-6e40afd52feb</x:v>
      </x:c>
      <x:c r="O196" s="113" t="str">
        <x:v>Assign NJ bin if physically stocked</x:v>
      </x:c>
      <x:c r="P196" s="112" t="str">
        <x:f>A196</x:f>
        <x:v>KLA-D041-WIN-M</x:v>
      </x:c>
      <x:c r="Q196" s="112" t="str">
        <x:f>IF(COUNTIF($A$9:$A$303,A196)&gt;1,"DUPLICATE","OK")</x:f>
        <x:v>OK</x:v>
      </x:c>
    </x:row>
    <x:row r="197" ht="24" customHeight="1">
      <x:c r="A197" s="144" t="str">
        <x:f>IF(B197&lt;&gt;"",B197,"KLA-"&amp;C197&amp;"-"&amp;G197&amp;"-"&amp;H197)</x:f>
        <x:v>KLA-D041-WIN-S</x:v>
      </x:c>
      <x:c r="B197" s="145" t="str"/>
      <x:c r="C197" s="146" t="str">
        <x:v>D041</x:v>
      </x:c>
      <x:c r="D197" s="112" t="str">
        <x:v>Virelle Rosé Gown</x:v>
      </x:c>
      <x:c r="E197" s="112" t="str">
        <x:v>Dress</x:v>
      </x:c>
      <x:c r="F197" s="112" t="str">
        <x:v>Wine</x:v>
      </x:c>
      <x:c r="G197" s="146" t="str">
        <x:v>WIN</x:v>
      </x:c>
      <x:c r="H197" s="146" t="str">
        <x:v>S</x:v>
      </x:c>
      <x:c r="I197" s="147" t="n">
        <x:v>95</x:v>
      </x:c>
      <x:c r="J197" s="112" t="str">
        <x:v>US Warehouse</x:v>
      </x:c>
      <x:c r="K197" s="148" t="str"/>
      <x:c r="L197" s="148" t="str"/>
      <x:c r="M197" s="112" t="str">
        <x:v>Published</x:v>
      </x:c>
      <x:c r="N197" s="113" t="str">
        <x:v>https://www.klarelle.store/product/28383451-fb2b-439a-948d-6e40afd52feb</x:v>
      </x:c>
      <x:c r="O197" s="113" t="str">
        <x:v>Assign NJ bin if physically stocked</x:v>
      </x:c>
      <x:c r="P197" s="112" t="str">
        <x:f>A197</x:f>
        <x:v>KLA-D041-WIN-S</x:v>
      </x:c>
      <x:c r="Q197" s="112" t="str">
        <x:f>IF(COUNTIF($A$9:$A$303,A197)&gt;1,"DUPLICATE","OK")</x:f>
        <x:v>OK</x:v>
      </x:c>
    </x:row>
    <x:row r="198" ht="24" customHeight="1">
      <x:c r="A198" s="144" t="str">
        <x:f>IF(B198&lt;&gt;"",B198,"KLA-"&amp;C198&amp;"-"&amp;G198&amp;"-"&amp;H198)</x:f>
        <x:v>KLA-D041-WIN-XL</x:v>
      </x:c>
      <x:c r="B198" s="145" t="str"/>
      <x:c r="C198" s="146" t="str">
        <x:v>D041</x:v>
      </x:c>
      <x:c r="D198" s="112" t="str">
        <x:v>Virelle Rosé Gown</x:v>
      </x:c>
      <x:c r="E198" s="112" t="str">
        <x:v>Dress</x:v>
      </x:c>
      <x:c r="F198" s="112" t="str">
        <x:v>Wine</x:v>
      </x:c>
      <x:c r="G198" s="146" t="str">
        <x:v>WIN</x:v>
      </x:c>
      <x:c r="H198" s="146" t="str">
        <x:v>XL</x:v>
      </x:c>
      <x:c r="I198" s="147" t="n">
        <x:v>95</x:v>
      </x:c>
      <x:c r="J198" s="112" t="str">
        <x:v>US Warehouse</x:v>
      </x:c>
      <x:c r="K198" s="148" t="str"/>
      <x:c r="L198" s="148" t="str"/>
      <x:c r="M198" s="112" t="str">
        <x:v>Published</x:v>
      </x:c>
      <x:c r="N198" s="113" t="str">
        <x:v>https://www.klarelle.store/product/28383451-fb2b-439a-948d-6e40afd52feb</x:v>
      </x:c>
      <x:c r="O198" s="113" t="str">
        <x:v>Assign NJ bin if physically stocked</x:v>
      </x:c>
      <x:c r="P198" s="112" t="str">
        <x:f>A198</x:f>
        <x:v>KLA-D041-WIN-XL</x:v>
      </x:c>
      <x:c r="Q198" s="112" t="str">
        <x:f>IF(COUNTIF($A$9:$A$303,A198)&gt;1,"DUPLICATE","OK")</x:f>
        <x:v>OK</x:v>
      </x:c>
    </x:row>
    <x:row r="199" ht="24" customHeight="1">
      <x:c r="A199" s="144" t="str">
        <x:f>IF(B199&lt;&gt;"",B199,"KLA-"&amp;C199&amp;"-"&amp;G199&amp;"-"&amp;H199)</x:f>
        <x:v>KLA-D042-PNK-OS</x:v>
      </x:c>
      <x:c r="B199" s="145" t="str"/>
      <x:c r="C199" s="146" t="str">
        <x:v>D042</x:v>
      </x:c>
      <x:c r="D199" s="112" t="str">
        <x:v>Murielle Rosé Ruffle Dress</x:v>
      </x:c>
      <x:c r="E199" s="112" t="str">
        <x:v>Dress</x:v>
      </x:c>
      <x:c r="F199" s="112" t="str">
        <x:v>Pink</x:v>
      </x:c>
      <x:c r="G199" s="146" t="str">
        <x:v>PNK</x:v>
      </x:c>
      <x:c r="H199" s="146" t="str">
        <x:v>OS</x:v>
      </x:c>
      <x:c r="I199" s="147" t="n">
        <x:v>89</x:v>
      </x:c>
      <x:c r="J199" s="112" t="str">
        <x:v>US Warehouse</x:v>
      </x:c>
      <x:c r="K199" s="148" t="str"/>
      <x:c r="L199" s="148" t="str"/>
      <x:c r="M199" s="112" t="str">
        <x:v>Published</x:v>
      </x:c>
      <x:c r="N199" s="113" t="str">
        <x:v>https://www.klarelle.store/product/a7790962-c3bc-4f6a-b0f0-fed66ccc7baa</x:v>
      </x:c>
      <x:c r="O199" s="113" t="str">
        <x:v>Assign NJ bin if physically stocked</x:v>
      </x:c>
      <x:c r="P199" s="112" t="str">
        <x:f>A199</x:f>
        <x:v>KLA-D042-PNK-OS</x:v>
      </x:c>
      <x:c r="Q199" s="112" t="str">
        <x:f>IF(COUNTIF($A$9:$A$303,A199)&gt;1,"DUPLICATE","OK")</x:f>
        <x:v>OK</x:v>
      </x:c>
    </x:row>
    <x:row r="200" ht="24" customHeight="1">
      <x:c r="A200" s="144" t="str">
        <x:f>IF(B200&lt;&gt;"",B200,"KLA-"&amp;C200&amp;"-"&amp;G200&amp;"-"&amp;H200)</x:f>
        <x:v>KLA-D043-BLK-L</x:v>
      </x:c>
      <x:c r="B200" s="145" t="str"/>
      <x:c r="C200" s="146" t="str">
        <x:v>D043</x:v>
      </x:c>
      <x:c r="D200" s="112" t="str">
        <x:v>Anelle Gown</x:v>
      </x:c>
      <x:c r="E200" s="112" t="str">
        <x:v>Dress</x:v>
      </x:c>
      <x:c r="F200" s="112" t="str">
        <x:v>Black</x:v>
      </x:c>
      <x:c r="G200" s="146" t="str">
        <x:v>BLK</x:v>
      </x:c>
      <x:c r="H200" s="146" t="str">
        <x:v>L</x:v>
      </x:c>
      <x:c r="I200" s="147" t="n">
        <x:v>98</x:v>
      </x:c>
      <x:c r="J200" s="112" t="str">
        <x:v>US Warehouse</x:v>
      </x:c>
      <x:c r="K200" s="148" t="str"/>
      <x:c r="L200" s="148" t="str"/>
      <x:c r="M200" s="112" t="str">
        <x:v>Published</x:v>
      </x:c>
      <x:c r="N200" s="113" t="str">
        <x:v>https://www.klarelle.store/product/5a83d928-fa30-434d-af0a-02b31f7d2d91</x:v>
      </x:c>
      <x:c r="O200" s="113" t="str">
        <x:v>Assign NJ bin if physically stocked</x:v>
      </x:c>
      <x:c r="P200" s="112" t="str">
        <x:f>A200</x:f>
        <x:v>KLA-D043-BLK-L</x:v>
      </x:c>
      <x:c r="Q200" s="112" t="str">
        <x:f>IF(COUNTIF($A$9:$A$303,A200)&gt;1,"DUPLICATE","OK")</x:f>
        <x:v>OK</x:v>
      </x:c>
    </x:row>
    <x:row r="201" ht="24" customHeight="1">
      <x:c r="A201" s="144" t="str">
        <x:f>IF(B201&lt;&gt;"",B201,"KLA-"&amp;C201&amp;"-"&amp;G201&amp;"-"&amp;H201)</x:f>
        <x:v>KLA-D043-BLK-M</x:v>
      </x:c>
      <x:c r="B201" s="145" t="str"/>
      <x:c r="C201" s="146" t="str">
        <x:v>D043</x:v>
      </x:c>
      <x:c r="D201" s="112" t="str">
        <x:v>Anelle Gown</x:v>
      </x:c>
      <x:c r="E201" s="112" t="str">
        <x:v>Dress</x:v>
      </x:c>
      <x:c r="F201" s="112" t="str">
        <x:v>Black</x:v>
      </x:c>
      <x:c r="G201" s="146" t="str">
        <x:v>BLK</x:v>
      </x:c>
      <x:c r="H201" s="146" t="str">
        <x:v>M</x:v>
      </x:c>
      <x:c r="I201" s="147" t="n">
        <x:v>98</x:v>
      </x:c>
      <x:c r="J201" s="112" t="str">
        <x:v>US Warehouse</x:v>
      </x:c>
      <x:c r="K201" s="148" t="str"/>
      <x:c r="L201" s="148" t="str"/>
      <x:c r="M201" s="112" t="str">
        <x:v>Published</x:v>
      </x:c>
      <x:c r="N201" s="113" t="str">
        <x:v>https://www.klarelle.store/product/5a83d928-fa30-434d-af0a-02b31f7d2d91</x:v>
      </x:c>
      <x:c r="O201" s="113" t="str">
        <x:v>Assign NJ bin if physically stocked</x:v>
      </x:c>
      <x:c r="P201" s="112" t="str">
        <x:f>A201</x:f>
        <x:v>KLA-D043-BLK-M</x:v>
      </x:c>
      <x:c r="Q201" s="112" t="str">
        <x:f>IF(COUNTIF($A$9:$A$303,A201)&gt;1,"DUPLICATE","OK")</x:f>
        <x:v>OK</x:v>
      </x:c>
    </x:row>
    <x:row r="202" ht="24" customHeight="1">
      <x:c r="A202" s="144" t="str">
        <x:f>IF(B202&lt;&gt;"",B202,"KLA-"&amp;C202&amp;"-"&amp;G202&amp;"-"&amp;H202)</x:f>
        <x:v>KLA-D043-BLK-S</x:v>
      </x:c>
      <x:c r="B202" s="145" t="str"/>
      <x:c r="C202" s="146" t="str">
        <x:v>D043</x:v>
      </x:c>
      <x:c r="D202" s="112" t="str">
        <x:v>Anelle Gown</x:v>
      </x:c>
      <x:c r="E202" s="112" t="str">
        <x:v>Dress</x:v>
      </x:c>
      <x:c r="F202" s="112" t="str">
        <x:v>Black</x:v>
      </x:c>
      <x:c r="G202" s="146" t="str">
        <x:v>BLK</x:v>
      </x:c>
      <x:c r="H202" s="146" t="str">
        <x:v>S</x:v>
      </x:c>
      <x:c r="I202" s="147" t="n">
        <x:v>98</x:v>
      </x:c>
      <x:c r="J202" s="112" t="str">
        <x:v>US Warehouse</x:v>
      </x:c>
      <x:c r="K202" s="148" t="str"/>
      <x:c r="L202" s="148" t="str"/>
      <x:c r="M202" s="112" t="str">
        <x:v>Published</x:v>
      </x:c>
      <x:c r="N202" s="113" t="str">
        <x:v>https://www.klarelle.store/product/5a83d928-fa30-434d-af0a-02b31f7d2d91</x:v>
      </x:c>
      <x:c r="O202" s="113" t="str">
        <x:v>Assign NJ bin if physically stocked</x:v>
      </x:c>
      <x:c r="P202" s="112" t="str">
        <x:f>A202</x:f>
        <x:v>KLA-D043-BLK-S</x:v>
      </x:c>
      <x:c r="Q202" s="112" t="str">
        <x:f>IF(COUNTIF($A$9:$A$303,A202)&gt;1,"DUPLICATE","OK")</x:f>
        <x:v>OK</x:v>
      </x:c>
    </x:row>
    <x:row r="203" ht="24" customHeight="1">
      <x:c r="A203" s="144" t="str">
        <x:f>IF(B203&lt;&gt;"",B203,"KLA-"&amp;C203&amp;"-"&amp;G203&amp;"-"&amp;H203)</x:f>
        <x:v>KLA-D043-BLK-XL</x:v>
      </x:c>
      <x:c r="B203" s="145" t="str"/>
      <x:c r="C203" s="146" t="str">
        <x:v>D043</x:v>
      </x:c>
      <x:c r="D203" s="112" t="str">
        <x:v>Anelle Gown</x:v>
      </x:c>
      <x:c r="E203" s="112" t="str">
        <x:v>Dress</x:v>
      </x:c>
      <x:c r="F203" s="112" t="str">
        <x:v>Black</x:v>
      </x:c>
      <x:c r="G203" s="146" t="str">
        <x:v>BLK</x:v>
      </x:c>
      <x:c r="H203" s="146" t="str">
        <x:v>XL</x:v>
      </x:c>
      <x:c r="I203" s="147" t="n">
        <x:v>98</x:v>
      </x:c>
      <x:c r="J203" s="112" t="str">
        <x:v>US Warehouse</x:v>
      </x:c>
      <x:c r="K203" s="148" t="str"/>
      <x:c r="L203" s="148" t="str"/>
      <x:c r="M203" s="112" t="str">
        <x:v>Published</x:v>
      </x:c>
      <x:c r="N203" s="113" t="str">
        <x:v>https://www.klarelle.store/product/5a83d928-fa30-434d-af0a-02b31f7d2d91</x:v>
      </x:c>
      <x:c r="O203" s="113" t="str">
        <x:v>Assign NJ bin if physically stocked</x:v>
      </x:c>
      <x:c r="P203" s="112" t="str">
        <x:f>A203</x:f>
        <x:v>KLA-D043-BLK-XL</x:v>
      </x:c>
      <x:c r="Q203" s="112" t="str">
        <x:f>IF(COUNTIF($A$9:$A$303,A203)&gt;1,"DUPLICATE","OK")</x:f>
        <x:v>OK</x:v>
      </x:c>
    </x:row>
    <x:row r="204" ht="24" customHeight="1">
      <x:c r="A204" s="144" t="str">
        <x:f>IF(B204&lt;&gt;"",B204,"KLA-"&amp;C204&amp;"-"&amp;G204&amp;"-"&amp;H204)</x:f>
        <x:v>KLA-D043-PNK-L</x:v>
      </x:c>
      <x:c r="B204" s="145" t="str"/>
      <x:c r="C204" s="146" t="str">
        <x:v>D043</x:v>
      </x:c>
      <x:c r="D204" s="112" t="str">
        <x:v>Anelle Gown</x:v>
      </x:c>
      <x:c r="E204" s="112" t="str">
        <x:v>Dress</x:v>
      </x:c>
      <x:c r="F204" s="112" t="str">
        <x:v>Pink</x:v>
      </x:c>
      <x:c r="G204" s="146" t="str">
        <x:v>PNK</x:v>
      </x:c>
      <x:c r="H204" s="146" t="str">
        <x:v>L</x:v>
      </x:c>
      <x:c r="I204" s="147" t="n">
        <x:v>98</x:v>
      </x:c>
      <x:c r="J204" s="112" t="str">
        <x:v>US Warehouse</x:v>
      </x:c>
      <x:c r="K204" s="148" t="str"/>
      <x:c r="L204" s="148" t="str"/>
      <x:c r="M204" s="112" t="str">
        <x:v>Published</x:v>
      </x:c>
      <x:c r="N204" s="113" t="str">
        <x:v>https://www.klarelle.store/product/5a83d928-fa30-434d-af0a-02b31f7d2d91</x:v>
      </x:c>
      <x:c r="O204" s="113" t="str">
        <x:v>Assign NJ bin if physically stocked</x:v>
      </x:c>
      <x:c r="P204" s="112" t="str">
        <x:f>A204</x:f>
        <x:v>KLA-D043-PNK-L</x:v>
      </x:c>
      <x:c r="Q204" s="112" t="str">
        <x:f>IF(COUNTIF($A$9:$A$303,A204)&gt;1,"DUPLICATE","OK")</x:f>
        <x:v>OK</x:v>
      </x:c>
    </x:row>
    <x:row r="205" ht="24" customHeight="1">
      <x:c r="A205" s="144" t="str">
        <x:f>IF(B205&lt;&gt;"",B205,"KLA-"&amp;C205&amp;"-"&amp;G205&amp;"-"&amp;H205)</x:f>
        <x:v>KLA-D043-PNK-M</x:v>
      </x:c>
      <x:c r="B205" s="145" t="str"/>
      <x:c r="C205" s="146" t="str">
        <x:v>D043</x:v>
      </x:c>
      <x:c r="D205" s="112" t="str">
        <x:v>Anelle Gown</x:v>
      </x:c>
      <x:c r="E205" s="112" t="str">
        <x:v>Dress</x:v>
      </x:c>
      <x:c r="F205" s="112" t="str">
        <x:v>Pink</x:v>
      </x:c>
      <x:c r="G205" s="146" t="str">
        <x:v>PNK</x:v>
      </x:c>
      <x:c r="H205" s="146" t="str">
        <x:v>M</x:v>
      </x:c>
      <x:c r="I205" s="147" t="n">
        <x:v>98</x:v>
      </x:c>
      <x:c r="J205" s="112" t="str">
        <x:v>US Warehouse</x:v>
      </x:c>
      <x:c r="K205" s="148" t="str"/>
      <x:c r="L205" s="148" t="str"/>
      <x:c r="M205" s="112" t="str">
        <x:v>Published</x:v>
      </x:c>
      <x:c r="N205" s="113" t="str">
        <x:v>https://www.klarelle.store/product/5a83d928-fa30-434d-af0a-02b31f7d2d91</x:v>
      </x:c>
      <x:c r="O205" s="113" t="str">
        <x:v>Assign NJ bin if physically stocked</x:v>
      </x:c>
      <x:c r="P205" s="112" t="str">
        <x:f>A205</x:f>
        <x:v>KLA-D043-PNK-M</x:v>
      </x:c>
      <x:c r="Q205" s="112" t="str">
        <x:f>IF(COUNTIF($A$9:$A$303,A205)&gt;1,"DUPLICATE","OK")</x:f>
        <x:v>OK</x:v>
      </x:c>
    </x:row>
    <x:row r="206" ht="24" customHeight="1">
      <x:c r="A206" s="144" t="str">
        <x:f>IF(B206&lt;&gt;"",B206,"KLA-"&amp;C206&amp;"-"&amp;G206&amp;"-"&amp;H206)</x:f>
        <x:v>KLA-D043-PNK-S</x:v>
      </x:c>
      <x:c r="B206" s="145" t="str"/>
      <x:c r="C206" s="146" t="str">
        <x:v>D043</x:v>
      </x:c>
      <x:c r="D206" s="112" t="str">
        <x:v>Anelle Gown</x:v>
      </x:c>
      <x:c r="E206" s="112" t="str">
        <x:v>Dress</x:v>
      </x:c>
      <x:c r="F206" s="112" t="str">
        <x:v>Pink</x:v>
      </x:c>
      <x:c r="G206" s="146" t="str">
        <x:v>PNK</x:v>
      </x:c>
      <x:c r="H206" s="146" t="str">
        <x:v>S</x:v>
      </x:c>
      <x:c r="I206" s="147" t="n">
        <x:v>98</x:v>
      </x:c>
      <x:c r="J206" s="112" t="str">
        <x:v>US Warehouse</x:v>
      </x:c>
      <x:c r="K206" s="148" t="str"/>
      <x:c r="L206" s="148" t="str"/>
      <x:c r="M206" s="112" t="str">
        <x:v>Published</x:v>
      </x:c>
      <x:c r="N206" s="113" t="str">
        <x:v>https://www.klarelle.store/product/5a83d928-fa30-434d-af0a-02b31f7d2d91</x:v>
      </x:c>
      <x:c r="O206" s="113" t="str">
        <x:v>Assign NJ bin if physically stocked</x:v>
      </x:c>
      <x:c r="P206" s="112" t="str">
        <x:f>A206</x:f>
        <x:v>KLA-D043-PNK-S</x:v>
      </x:c>
      <x:c r="Q206" s="112" t="str">
        <x:f>IF(COUNTIF($A$9:$A$303,A206)&gt;1,"DUPLICATE","OK")</x:f>
        <x:v>OK</x:v>
      </x:c>
    </x:row>
    <x:row r="207" ht="24" customHeight="1">
      <x:c r="A207" s="144" t="str">
        <x:f>IF(B207&lt;&gt;"",B207,"KLA-"&amp;C207&amp;"-"&amp;G207&amp;"-"&amp;H207)</x:f>
        <x:v>KLA-D043-PNK-XL</x:v>
      </x:c>
      <x:c r="B207" s="145" t="str"/>
      <x:c r="C207" s="146" t="str">
        <x:v>D043</x:v>
      </x:c>
      <x:c r="D207" s="112" t="str">
        <x:v>Anelle Gown</x:v>
      </x:c>
      <x:c r="E207" s="112" t="str">
        <x:v>Dress</x:v>
      </x:c>
      <x:c r="F207" s="112" t="str">
        <x:v>Pink</x:v>
      </x:c>
      <x:c r="G207" s="146" t="str">
        <x:v>PNK</x:v>
      </x:c>
      <x:c r="H207" s="146" t="str">
        <x:v>XL</x:v>
      </x:c>
      <x:c r="I207" s="147" t="n">
        <x:v>98</x:v>
      </x:c>
      <x:c r="J207" s="112" t="str">
        <x:v>US Warehouse</x:v>
      </x:c>
      <x:c r="K207" s="148" t="str"/>
      <x:c r="L207" s="148" t="str"/>
      <x:c r="M207" s="112" t="str">
        <x:v>Published</x:v>
      </x:c>
      <x:c r="N207" s="113" t="str">
        <x:v>https://www.klarelle.store/product/5a83d928-fa30-434d-af0a-02b31f7d2d91</x:v>
      </x:c>
      <x:c r="O207" s="113" t="str">
        <x:v>Assign NJ bin if physically stocked</x:v>
      </x:c>
      <x:c r="P207" s="112" t="str">
        <x:f>A207</x:f>
        <x:v>KLA-D043-PNK-XL</x:v>
      </x:c>
      <x:c r="Q207" s="112" t="str">
        <x:f>IF(COUNTIF($A$9:$A$303,A207)&gt;1,"DUPLICATE","OK")</x:f>
        <x:v>OK</x:v>
      </x:c>
    </x:row>
    <x:row r="208" ht="24" customHeight="1">
      <x:c r="A208" s="144" t="str">
        <x:f>IF(B208&lt;&gt;"",B208,"KLA-"&amp;C208&amp;"-"&amp;G208&amp;"-"&amp;H208)</x:f>
        <x:v>KLA-D044-BLK-L</x:v>
      </x:c>
      <x:c r="B208" s="145" t="str"/>
      <x:c r="C208" s="146" t="str">
        <x:v>D044</x:v>
      </x:c>
      <x:c r="D208" s="112" t="str">
        <x:v>Amarielle Bloom Gown</x:v>
      </x:c>
      <x:c r="E208" s="112" t="str">
        <x:v>Dress</x:v>
      </x:c>
      <x:c r="F208" s="112" t="str">
        <x:v>Black</x:v>
      </x:c>
      <x:c r="G208" s="146" t="str">
        <x:v>BLK</x:v>
      </x:c>
      <x:c r="H208" s="146" t="str">
        <x:v>L</x:v>
      </x:c>
      <x:c r="I208" s="147" t="n">
        <x:v>90</x:v>
      </x:c>
      <x:c r="J208" s="112" t="str">
        <x:v>US Warehouse</x:v>
      </x:c>
      <x:c r="K208" s="148" t="str"/>
      <x:c r="L208" s="148" t="str"/>
      <x:c r="M208" s="112" t="str">
        <x:v>Published</x:v>
      </x:c>
      <x:c r="N208" s="113" t="str">
        <x:v>https://www.klarelle.store/product/d6c0fa4f-d211-48e1-9da3-00d400e7155b</x:v>
      </x:c>
      <x:c r="O208" s="113" t="str">
        <x:v>Assign NJ bin if physically stocked</x:v>
      </x:c>
      <x:c r="P208" s="112" t="str">
        <x:f>A208</x:f>
        <x:v>KLA-D044-BLK-L</x:v>
      </x:c>
      <x:c r="Q208" s="112" t="str">
        <x:f>IF(COUNTIF($A$9:$A$303,A208)&gt;1,"DUPLICATE","OK")</x:f>
        <x:v>OK</x:v>
      </x:c>
    </x:row>
    <x:row r="209" ht="24" customHeight="1">
      <x:c r="A209" s="144" t="str">
        <x:f>IF(B209&lt;&gt;"",B209,"KLA-"&amp;C209&amp;"-"&amp;G209&amp;"-"&amp;H209)</x:f>
        <x:v>KLA-D044-BLK-M</x:v>
      </x:c>
      <x:c r="B209" s="145" t="str"/>
      <x:c r="C209" s="146" t="str">
        <x:v>D044</x:v>
      </x:c>
      <x:c r="D209" s="112" t="str">
        <x:v>Amarielle Bloom Gown</x:v>
      </x:c>
      <x:c r="E209" s="112" t="str">
        <x:v>Dress</x:v>
      </x:c>
      <x:c r="F209" s="112" t="str">
        <x:v>Black</x:v>
      </x:c>
      <x:c r="G209" s="146" t="str">
        <x:v>BLK</x:v>
      </x:c>
      <x:c r="H209" s="146" t="str">
        <x:v>M</x:v>
      </x:c>
      <x:c r="I209" s="147" t="n">
        <x:v>90</x:v>
      </x:c>
      <x:c r="J209" s="112" t="str">
        <x:v>US Warehouse</x:v>
      </x:c>
      <x:c r="K209" s="148" t="str"/>
      <x:c r="L209" s="148" t="str"/>
      <x:c r="M209" s="112" t="str">
        <x:v>Published</x:v>
      </x:c>
      <x:c r="N209" s="113" t="str">
        <x:v>https://www.klarelle.store/product/d6c0fa4f-d211-48e1-9da3-00d400e7155b</x:v>
      </x:c>
      <x:c r="O209" s="113" t="str">
        <x:v>Assign NJ bin if physically stocked</x:v>
      </x:c>
      <x:c r="P209" s="112" t="str">
        <x:f>A209</x:f>
        <x:v>KLA-D044-BLK-M</x:v>
      </x:c>
      <x:c r="Q209" s="112" t="str">
        <x:f>IF(COUNTIF($A$9:$A$303,A209)&gt;1,"DUPLICATE","OK")</x:f>
        <x:v>OK</x:v>
      </x:c>
    </x:row>
    <x:row r="210" ht="24" customHeight="1">
      <x:c r="A210" s="144" t="str">
        <x:f>IF(B210&lt;&gt;"",B210,"KLA-"&amp;C210&amp;"-"&amp;G210&amp;"-"&amp;H210)</x:f>
        <x:v>KLA-D044-BLK-S</x:v>
      </x:c>
      <x:c r="B210" s="145" t="str"/>
      <x:c r="C210" s="146" t="str">
        <x:v>D044</x:v>
      </x:c>
      <x:c r="D210" s="112" t="str">
        <x:v>Amarielle Bloom Gown</x:v>
      </x:c>
      <x:c r="E210" s="112" t="str">
        <x:v>Dress</x:v>
      </x:c>
      <x:c r="F210" s="112" t="str">
        <x:v>Black</x:v>
      </x:c>
      <x:c r="G210" s="146" t="str">
        <x:v>BLK</x:v>
      </x:c>
      <x:c r="H210" s="146" t="str">
        <x:v>S</x:v>
      </x:c>
      <x:c r="I210" s="147" t="n">
        <x:v>90</x:v>
      </x:c>
      <x:c r="J210" s="112" t="str">
        <x:v>US Warehouse</x:v>
      </x:c>
      <x:c r="K210" s="148" t="str"/>
      <x:c r="L210" s="148" t="str"/>
      <x:c r="M210" s="112" t="str">
        <x:v>Published</x:v>
      </x:c>
      <x:c r="N210" s="113" t="str">
        <x:v>https://www.klarelle.store/product/d6c0fa4f-d211-48e1-9da3-00d400e7155b</x:v>
      </x:c>
      <x:c r="O210" s="113" t="str">
        <x:v>Assign NJ bin if physically stocked</x:v>
      </x:c>
      <x:c r="P210" s="112" t="str">
        <x:f>A210</x:f>
        <x:v>KLA-D044-BLK-S</x:v>
      </x:c>
      <x:c r="Q210" s="112" t="str">
        <x:f>IF(COUNTIF($A$9:$A$303,A210)&gt;1,"DUPLICATE","OK")</x:f>
        <x:v>OK</x:v>
      </x:c>
    </x:row>
    <x:row r="211" ht="24" customHeight="1">
      <x:c r="A211" s="144" t="str">
        <x:f>IF(B211&lt;&gt;"",B211,"KLA-"&amp;C211&amp;"-"&amp;G211&amp;"-"&amp;H211)</x:f>
        <x:v>KLA-D044-BLK-XL</x:v>
      </x:c>
      <x:c r="B211" s="145" t="str"/>
      <x:c r="C211" s="146" t="str">
        <x:v>D044</x:v>
      </x:c>
      <x:c r="D211" s="112" t="str">
        <x:v>Amarielle Bloom Gown</x:v>
      </x:c>
      <x:c r="E211" s="112" t="str">
        <x:v>Dress</x:v>
      </x:c>
      <x:c r="F211" s="112" t="str">
        <x:v>Black</x:v>
      </x:c>
      <x:c r="G211" s="146" t="str">
        <x:v>BLK</x:v>
      </x:c>
      <x:c r="H211" s="146" t="str">
        <x:v>XL</x:v>
      </x:c>
      <x:c r="I211" s="147" t="n">
        <x:v>90</x:v>
      </x:c>
      <x:c r="J211" s="112" t="str">
        <x:v>US Warehouse</x:v>
      </x:c>
      <x:c r="K211" s="148" t="str"/>
      <x:c r="L211" s="148" t="str"/>
      <x:c r="M211" s="112" t="str">
        <x:v>Published</x:v>
      </x:c>
      <x:c r="N211" s="113" t="str">
        <x:v>https://www.klarelle.store/product/d6c0fa4f-d211-48e1-9da3-00d400e7155b</x:v>
      </x:c>
      <x:c r="O211" s="113" t="str">
        <x:v>Assign NJ bin if physically stocked</x:v>
      </x:c>
      <x:c r="P211" s="112" t="str">
        <x:f>A211</x:f>
        <x:v>KLA-D044-BLK-XL</x:v>
      </x:c>
      <x:c r="Q211" s="112" t="str">
        <x:f>IF(COUNTIF($A$9:$A$303,A211)&gt;1,"DUPLICATE","OK")</x:f>
        <x:v>OK</x:v>
      </x:c>
    </x:row>
    <x:row r="212" ht="24" customHeight="1">
      <x:c r="A212" s="144" t="str">
        <x:f>IF(B212&lt;&gt;"",B212,"KLA-"&amp;C212&amp;"-"&amp;G212&amp;"-"&amp;H212)</x:f>
        <x:v>KLA-D044-BLK-XXL</x:v>
      </x:c>
      <x:c r="B212" s="145" t="str"/>
      <x:c r="C212" s="146" t="str">
        <x:v>D044</x:v>
      </x:c>
      <x:c r="D212" s="112" t="str">
        <x:v>Amarielle Bloom Gown</x:v>
      </x:c>
      <x:c r="E212" s="112" t="str">
        <x:v>Dress</x:v>
      </x:c>
      <x:c r="F212" s="112" t="str">
        <x:v>Black</x:v>
      </x:c>
      <x:c r="G212" s="146" t="str">
        <x:v>BLK</x:v>
      </x:c>
      <x:c r="H212" s="146" t="str">
        <x:v>XXL</x:v>
      </x:c>
      <x:c r="I212" s="147" t="n">
        <x:v>90</x:v>
      </x:c>
      <x:c r="J212" s="112" t="str">
        <x:v>US Warehouse</x:v>
      </x:c>
      <x:c r="K212" s="148" t="str"/>
      <x:c r="L212" s="148" t="str"/>
      <x:c r="M212" s="112" t="str">
        <x:v>Published</x:v>
      </x:c>
      <x:c r="N212" s="113" t="str">
        <x:v>https://www.klarelle.store/product/d6c0fa4f-d211-48e1-9da3-00d400e7155b</x:v>
      </x:c>
      <x:c r="O212" s="113" t="str">
        <x:v>Assign NJ bin if physically stocked</x:v>
      </x:c>
      <x:c r="P212" s="112" t="str">
        <x:f>A212</x:f>
        <x:v>KLA-D044-BLK-XXL</x:v>
      </x:c>
      <x:c r="Q212" s="112" t="str">
        <x:f>IF(COUNTIF($A$9:$A$303,A212)&gt;1,"DUPLICATE","OK")</x:f>
        <x:v>OK</x:v>
      </x:c>
    </x:row>
    <x:row r="213" ht="24" customHeight="1">
      <x:c r="A213" s="144" t="str">
        <x:f>IF(B213&lt;&gt;"",B213,"KLA-"&amp;C213&amp;"-"&amp;G213&amp;"-"&amp;H213)</x:f>
        <x:v>KLA-D044-PNK-L</x:v>
      </x:c>
      <x:c r="B213" s="145" t="str"/>
      <x:c r="C213" s="146" t="str">
        <x:v>D044</x:v>
      </x:c>
      <x:c r="D213" s="112" t="str">
        <x:v>Amarielle Bloom Gown</x:v>
      </x:c>
      <x:c r="E213" s="112" t="str">
        <x:v>Dress</x:v>
      </x:c>
      <x:c r="F213" s="112" t="str">
        <x:v>Pink</x:v>
      </x:c>
      <x:c r="G213" s="146" t="str">
        <x:v>PNK</x:v>
      </x:c>
      <x:c r="H213" s="146" t="str">
        <x:v>L</x:v>
      </x:c>
      <x:c r="I213" s="147" t="n">
        <x:v>90</x:v>
      </x:c>
      <x:c r="J213" s="112" t="str">
        <x:v>US Warehouse</x:v>
      </x:c>
      <x:c r="K213" s="148" t="str"/>
      <x:c r="L213" s="148" t="str"/>
      <x:c r="M213" s="112" t="str">
        <x:v>Published</x:v>
      </x:c>
      <x:c r="N213" s="113" t="str">
        <x:v>https://www.klarelle.store/product/d6c0fa4f-d211-48e1-9da3-00d400e7155b</x:v>
      </x:c>
      <x:c r="O213" s="113" t="str">
        <x:v>Assign NJ bin if physically stocked</x:v>
      </x:c>
      <x:c r="P213" s="112" t="str">
        <x:f>A213</x:f>
        <x:v>KLA-D044-PNK-L</x:v>
      </x:c>
      <x:c r="Q213" s="112" t="str">
        <x:f>IF(COUNTIF($A$9:$A$303,A213)&gt;1,"DUPLICATE","OK")</x:f>
        <x:v>OK</x:v>
      </x:c>
    </x:row>
    <x:row r="214" ht="24" customHeight="1">
      <x:c r="A214" s="144" t="str">
        <x:f>IF(B214&lt;&gt;"",B214,"KLA-"&amp;C214&amp;"-"&amp;G214&amp;"-"&amp;H214)</x:f>
        <x:v>KLA-D044-PNK-M</x:v>
      </x:c>
      <x:c r="B214" s="145" t="str"/>
      <x:c r="C214" s="146" t="str">
        <x:v>D044</x:v>
      </x:c>
      <x:c r="D214" s="112" t="str">
        <x:v>Amarielle Bloom Gown</x:v>
      </x:c>
      <x:c r="E214" s="112" t="str">
        <x:v>Dress</x:v>
      </x:c>
      <x:c r="F214" s="112" t="str">
        <x:v>Pink</x:v>
      </x:c>
      <x:c r="G214" s="146" t="str">
        <x:v>PNK</x:v>
      </x:c>
      <x:c r="H214" s="146" t="str">
        <x:v>M</x:v>
      </x:c>
      <x:c r="I214" s="147" t="n">
        <x:v>90</x:v>
      </x:c>
      <x:c r="J214" s="112" t="str">
        <x:v>US Warehouse</x:v>
      </x:c>
      <x:c r="K214" s="148" t="str"/>
      <x:c r="L214" s="148" t="str"/>
      <x:c r="M214" s="112" t="str">
        <x:v>Published</x:v>
      </x:c>
      <x:c r="N214" s="113" t="str">
        <x:v>https://www.klarelle.store/product/d6c0fa4f-d211-48e1-9da3-00d400e7155b</x:v>
      </x:c>
      <x:c r="O214" s="113" t="str">
        <x:v>Assign NJ bin if physically stocked</x:v>
      </x:c>
      <x:c r="P214" s="112" t="str">
        <x:f>A214</x:f>
        <x:v>KLA-D044-PNK-M</x:v>
      </x:c>
      <x:c r="Q214" s="112" t="str">
        <x:f>IF(COUNTIF($A$9:$A$303,A214)&gt;1,"DUPLICATE","OK")</x:f>
        <x:v>OK</x:v>
      </x:c>
    </x:row>
    <x:row r="215" ht="24" customHeight="1">
      <x:c r="A215" s="144" t="str">
        <x:f>IF(B215&lt;&gt;"",B215,"KLA-"&amp;C215&amp;"-"&amp;G215&amp;"-"&amp;H215)</x:f>
        <x:v>KLA-D044-PNK-S</x:v>
      </x:c>
      <x:c r="B215" s="145" t="str"/>
      <x:c r="C215" s="146" t="str">
        <x:v>D044</x:v>
      </x:c>
      <x:c r="D215" s="112" t="str">
        <x:v>Amarielle Bloom Gown</x:v>
      </x:c>
      <x:c r="E215" s="112" t="str">
        <x:v>Dress</x:v>
      </x:c>
      <x:c r="F215" s="112" t="str">
        <x:v>Pink</x:v>
      </x:c>
      <x:c r="G215" s="146" t="str">
        <x:v>PNK</x:v>
      </x:c>
      <x:c r="H215" s="146" t="str">
        <x:v>S</x:v>
      </x:c>
      <x:c r="I215" s="147" t="n">
        <x:v>90</x:v>
      </x:c>
      <x:c r="J215" s="112" t="str">
        <x:v>US Warehouse</x:v>
      </x:c>
      <x:c r="K215" s="148" t="str"/>
      <x:c r="L215" s="148" t="str"/>
      <x:c r="M215" s="112" t="str">
        <x:v>Published</x:v>
      </x:c>
      <x:c r="N215" s="113" t="str">
        <x:v>https://www.klarelle.store/product/d6c0fa4f-d211-48e1-9da3-00d400e7155b</x:v>
      </x:c>
      <x:c r="O215" s="113" t="str">
        <x:v>Assign NJ bin if physically stocked</x:v>
      </x:c>
      <x:c r="P215" s="112" t="str">
        <x:f>A215</x:f>
        <x:v>KLA-D044-PNK-S</x:v>
      </x:c>
      <x:c r="Q215" s="112" t="str">
        <x:f>IF(COUNTIF($A$9:$A$303,A215)&gt;1,"DUPLICATE","OK")</x:f>
        <x:v>OK</x:v>
      </x:c>
    </x:row>
    <x:row r="216" ht="24" customHeight="1">
      <x:c r="A216" s="144" t="str">
        <x:f>IF(B216&lt;&gt;"",B216,"KLA-"&amp;C216&amp;"-"&amp;G216&amp;"-"&amp;H216)</x:f>
        <x:v>KLA-D044-PNK-XL</x:v>
      </x:c>
      <x:c r="B216" s="145" t="str"/>
      <x:c r="C216" s="146" t="str">
        <x:v>D044</x:v>
      </x:c>
      <x:c r="D216" s="112" t="str">
        <x:v>Amarielle Bloom Gown</x:v>
      </x:c>
      <x:c r="E216" s="112" t="str">
        <x:v>Dress</x:v>
      </x:c>
      <x:c r="F216" s="112" t="str">
        <x:v>Pink</x:v>
      </x:c>
      <x:c r="G216" s="146" t="str">
        <x:v>PNK</x:v>
      </x:c>
      <x:c r="H216" s="146" t="str">
        <x:v>XL</x:v>
      </x:c>
      <x:c r="I216" s="147" t="n">
        <x:v>90</x:v>
      </x:c>
      <x:c r="J216" s="112" t="str">
        <x:v>US Warehouse</x:v>
      </x:c>
      <x:c r="K216" s="148" t="str"/>
      <x:c r="L216" s="148" t="str"/>
      <x:c r="M216" s="112" t="str">
        <x:v>Published</x:v>
      </x:c>
      <x:c r="N216" s="113" t="str">
        <x:v>https://www.klarelle.store/product/d6c0fa4f-d211-48e1-9da3-00d400e7155b</x:v>
      </x:c>
      <x:c r="O216" s="113" t="str">
        <x:v>Assign NJ bin if physically stocked</x:v>
      </x:c>
      <x:c r="P216" s="112" t="str">
        <x:f>A216</x:f>
        <x:v>KLA-D044-PNK-XL</x:v>
      </x:c>
      <x:c r="Q216" s="112" t="str">
        <x:f>IF(COUNTIF($A$9:$A$303,A216)&gt;1,"DUPLICATE","OK")</x:f>
        <x:v>OK</x:v>
      </x:c>
    </x:row>
    <x:row r="217" ht="24" customHeight="1">
      <x:c r="A217" s="144" t="str">
        <x:f>IF(B217&lt;&gt;"",B217,"KLA-"&amp;C217&amp;"-"&amp;G217&amp;"-"&amp;H217)</x:f>
        <x:v>KLA-D044-PNK-XXL</x:v>
      </x:c>
      <x:c r="B217" s="145" t="str"/>
      <x:c r="C217" s="146" t="str">
        <x:v>D044</x:v>
      </x:c>
      <x:c r="D217" s="112" t="str">
        <x:v>Amarielle Bloom Gown</x:v>
      </x:c>
      <x:c r="E217" s="112" t="str">
        <x:v>Dress</x:v>
      </x:c>
      <x:c r="F217" s="112" t="str">
        <x:v>Pink</x:v>
      </x:c>
      <x:c r="G217" s="146" t="str">
        <x:v>PNK</x:v>
      </x:c>
      <x:c r="H217" s="146" t="str">
        <x:v>XXL</x:v>
      </x:c>
      <x:c r="I217" s="147" t="n">
        <x:v>90</x:v>
      </x:c>
      <x:c r="J217" s="112" t="str">
        <x:v>US Warehouse</x:v>
      </x:c>
      <x:c r="K217" s="148" t="str"/>
      <x:c r="L217" s="148" t="str"/>
      <x:c r="M217" s="112" t="str">
        <x:v>Published</x:v>
      </x:c>
      <x:c r="N217" s="113" t="str">
        <x:v>https://www.klarelle.store/product/d6c0fa4f-d211-48e1-9da3-00d400e7155b</x:v>
      </x:c>
      <x:c r="O217" s="113" t="str">
        <x:v>Assign NJ bin if physically stocked</x:v>
      </x:c>
      <x:c r="P217" s="112" t="str">
        <x:f>A217</x:f>
        <x:v>KLA-D044-PNK-XXL</x:v>
      </x:c>
      <x:c r="Q217" s="112" t="str">
        <x:f>IF(COUNTIF($A$9:$A$303,A217)&gt;1,"DUPLICATE","OK")</x:f>
        <x:v>OK</x:v>
      </x:c>
    </x:row>
    <x:row r="218" ht="24" customHeight="1">
      <x:c r="A218" s="144" t="str">
        <x:f>IF(B218&lt;&gt;"",B218,"KLA-"&amp;C218&amp;"-"&amp;G218&amp;"-"&amp;H218)</x:f>
        <x:v>KLA-D045-WHT-L</x:v>
      </x:c>
      <x:c r="B218" s="145" t="str"/>
      <x:c r="C218" s="146" t="str">
        <x:v>D045</x:v>
      </x:c>
      <x:c r="D218" s="112" t="str">
        <x:v>Roselle Amour Gown</x:v>
      </x:c>
      <x:c r="E218" s="112" t="str">
        <x:v>Dress</x:v>
      </x:c>
      <x:c r="F218" s="112" t="str">
        <x:v>White</x:v>
      </x:c>
      <x:c r="G218" s="146" t="str">
        <x:v>WHT</x:v>
      </x:c>
      <x:c r="H218" s="146" t="str">
        <x:v>L</x:v>
      </x:c>
      <x:c r="I218" s="147" t="n">
        <x:v>90</x:v>
      </x:c>
      <x:c r="J218" s="112" t="str">
        <x:v>International Warehouse</x:v>
      </x:c>
      <x:c r="K218" s="148" t="str"/>
      <x:c r="L218" s="148" t="str"/>
      <x:c r="M218" s="112" t="str">
        <x:v>Published</x:v>
      </x:c>
      <x:c r="N218" s="113" t="str">
        <x:v>https://www.klarelle.store/product/58e5bab5-9c97-4f53-9a5f-a2297b752950</x:v>
      </x:c>
      <x:c r="O218" s="113" t="str">
        <x:v>Supplier-held inventory; no NJ bin unless transferred</x:v>
      </x:c>
      <x:c r="P218" s="112" t="str">
        <x:f>A218</x:f>
        <x:v>KLA-D045-WHT-L</x:v>
      </x:c>
      <x:c r="Q218" s="112" t="str">
        <x:f>IF(COUNTIF($A$9:$A$303,A218)&gt;1,"DUPLICATE","OK")</x:f>
        <x:v>OK</x:v>
      </x:c>
    </x:row>
    <x:row r="219" ht="24" customHeight="1">
      <x:c r="A219" s="144" t="str">
        <x:f>IF(B219&lt;&gt;"",B219,"KLA-"&amp;C219&amp;"-"&amp;G219&amp;"-"&amp;H219)</x:f>
        <x:v>KLA-D045-WHT-M</x:v>
      </x:c>
      <x:c r="B219" s="145" t="str"/>
      <x:c r="C219" s="146" t="str">
        <x:v>D045</x:v>
      </x:c>
      <x:c r="D219" s="112" t="str">
        <x:v>Roselle Amour Gown</x:v>
      </x:c>
      <x:c r="E219" s="112" t="str">
        <x:v>Dress</x:v>
      </x:c>
      <x:c r="F219" s="112" t="str">
        <x:v>White</x:v>
      </x:c>
      <x:c r="G219" s="146" t="str">
        <x:v>WHT</x:v>
      </x:c>
      <x:c r="H219" s="146" t="str">
        <x:v>M</x:v>
      </x:c>
      <x:c r="I219" s="147" t="n">
        <x:v>90</x:v>
      </x:c>
      <x:c r="J219" s="112" t="str">
        <x:v>International Warehouse</x:v>
      </x:c>
      <x:c r="K219" s="148" t="str"/>
      <x:c r="L219" s="148" t="str"/>
      <x:c r="M219" s="112" t="str">
        <x:v>Published</x:v>
      </x:c>
      <x:c r="N219" s="113" t="str">
        <x:v>https://www.klarelle.store/product/58e5bab5-9c97-4f53-9a5f-a2297b752950</x:v>
      </x:c>
      <x:c r="O219" s="113" t="str">
        <x:v>Supplier-held inventory; no NJ bin unless transferred</x:v>
      </x:c>
      <x:c r="P219" s="112" t="str">
        <x:f>A219</x:f>
        <x:v>KLA-D045-WHT-M</x:v>
      </x:c>
      <x:c r="Q219" s="112" t="str">
        <x:f>IF(COUNTIF($A$9:$A$303,A219)&gt;1,"DUPLICATE","OK")</x:f>
        <x:v>OK</x:v>
      </x:c>
    </x:row>
    <x:row r="220" ht="24" customHeight="1">
      <x:c r="A220" s="144" t="str">
        <x:f>IF(B220&lt;&gt;"",B220,"KLA-"&amp;C220&amp;"-"&amp;G220&amp;"-"&amp;H220)</x:f>
        <x:v>KLA-D045-WHT-S</x:v>
      </x:c>
      <x:c r="B220" s="145" t="str"/>
      <x:c r="C220" s="146" t="str">
        <x:v>D045</x:v>
      </x:c>
      <x:c r="D220" s="112" t="str">
        <x:v>Roselle Amour Gown</x:v>
      </x:c>
      <x:c r="E220" s="112" t="str">
        <x:v>Dress</x:v>
      </x:c>
      <x:c r="F220" s="112" t="str">
        <x:v>White</x:v>
      </x:c>
      <x:c r="G220" s="146" t="str">
        <x:v>WHT</x:v>
      </x:c>
      <x:c r="H220" s="146" t="str">
        <x:v>S</x:v>
      </x:c>
      <x:c r="I220" s="147" t="n">
        <x:v>90</x:v>
      </x:c>
      <x:c r="J220" s="112" t="str">
        <x:v>International Warehouse</x:v>
      </x:c>
      <x:c r="K220" s="148" t="str"/>
      <x:c r="L220" s="148" t="str"/>
      <x:c r="M220" s="112" t="str">
        <x:v>Published</x:v>
      </x:c>
      <x:c r="N220" s="113" t="str">
        <x:v>https://www.klarelle.store/product/58e5bab5-9c97-4f53-9a5f-a2297b752950</x:v>
      </x:c>
      <x:c r="O220" s="113" t="str">
        <x:v>Supplier-held inventory; no NJ bin unless transferred</x:v>
      </x:c>
      <x:c r="P220" s="112" t="str">
        <x:f>A220</x:f>
        <x:v>KLA-D045-WHT-S</x:v>
      </x:c>
      <x:c r="Q220" s="112" t="str">
        <x:f>IF(COUNTIF($A$9:$A$303,A220)&gt;1,"DUPLICATE","OK")</x:f>
        <x:v>OK</x:v>
      </x:c>
    </x:row>
    <x:row r="221" ht="24" customHeight="1">
      <x:c r="A221" s="144" t="str">
        <x:f>IF(B221&lt;&gt;"",B221,"KLA-"&amp;C221&amp;"-"&amp;G221&amp;"-"&amp;H221)</x:f>
        <x:v>KLA-D045-WHT-XL</x:v>
      </x:c>
      <x:c r="B221" s="145" t="str"/>
      <x:c r="C221" s="146" t="str">
        <x:v>D045</x:v>
      </x:c>
      <x:c r="D221" s="112" t="str">
        <x:v>Roselle Amour Gown</x:v>
      </x:c>
      <x:c r="E221" s="112" t="str">
        <x:v>Dress</x:v>
      </x:c>
      <x:c r="F221" s="112" t="str">
        <x:v>White</x:v>
      </x:c>
      <x:c r="G221" s="146" t="str">
        <x:v>WHT</x:v>
      </x:c>
      <x:c r="H221" s="146" t="str">
        <x:v>XL</x:v>
      </x:c>
      <x:c r="I221" s="147" t="n">
        <x:v>90</x:v>
      </x:c>
      <x:c r="J221" s="112" t="str">
        <x:v>International Warehouse</x:v>
      </x:c>
      <x:c r="K221" s="148" t="str"/>
      <x:c r="L221" s="148" t="str"/>
      <x:c r="M221" s="112" t="str">
        <x:v>Published</x:v>
      </x:c>
      <x:c r="N221" s="113" t="str">
        <x:v>https://www.klarelle.store/product/58e5bab5-9c97-4f53-9a5f-a2297b752950</x:v>
      </x:c>
      <x:c r="O221" s="113" t="str">
        <x:v>Supplier-held inventory; no NJ bin unless transferred</x:v>
      </x:c>
      <x:c r="P221" s="112" t="str">
        <x:f>A221</x:f>
        <x:v>KLA-D045-WHT-XL</x:v>
      </x:c>
      <x:c r="Q221" s="112" t="str">
        <x:f>IF(COUNTIF($A$9:$A$303,A221)&gt;1,"DUPLICATE","OK")</x:f>
        <x:v>OK</x:v>
      </x:c>
    </x:row>
    <x:row r="222" ht="24" customHeight="1">
      <x:c r="A222" s="144" t="str">
        <x:f>IF(B222&lt;&gt;"",B222,"KLA-"&amp;C222&amp;"-"&amp;G222&amp;"-"&amp;H222)</x:f>
        <x:v>KLA-D046-PNK-L</x:v>
      </x:c>
      <x:c r="B222" s="145" t="str"/>
      <x:c r="C222" s="146" t="str">
        <x:v>D046</x:v>
      </x:c>
      <x:c r="D222" s="112" t="str">
        <x:v>Zenelle Fringe Dress</x:v>
      </x:c>
      <x:c r="E222" s="112" t="str">
        <x:v>Dress</x:v>
      </x:c>
      <x:c r="F222" s="112" t="str">
        <x:v>Pink</x:v>
      </x:c>
      <x:c r="G222" s="146" t="str">
        <x:v>PNK</x:v>
      </x:c>
      <x:c r="H222" s="146" t="str">
        <x:v>L</x:v>
      </x:c>
      <x:c r="I222" s="147" t="n">
        <x:v>99</x:v>
      </x:c>
      <x:c r="J222" s="112" t="str">
        <x:v>International Warehouse</x:v>
      </x:c>
      <x:c r="K222" s="148" t="str"/>
      <x:c r="L222" s="148" t="str"/>
      <x:c r="M222" s="112" t="str">
        <x:v>Published</x:v>
      </x:c>
      <x:c r="N222" s="113" t="str">
        <x:v>https://www.klarelle.store/product/e6aa3408-a6ca-40cf-b903-8b8063be0249</x:v>
      </x:c>
      <x:c r="O222" s="113" t="str">
        <x:v>Supplier-held inventory; no NJ bin unless transferred</x:v>
      </x:c>
      <x:c r="P222" s="112" t="str">
        <x:f>A222</x:f>
        <x:v>KLA-D046-PNK-L</x:v>
      </x:c>
      <x:c r="Q222" s="112" t="str">
        <x:f>IF(COUNTIF($A$9:$A$303,A222)&gt;1,"DUPLICATE","OK")</x:f>
        <x:v>OK</x:v>
      </x:c>
    </x:row>
    <x:row r="223" ht="24" customHeight="1">
      <x:c r="A223" s="144" t="str">
        <x:f>IF(B223&lt;&gt;"",B223,"KLA-"&amp;C223&amp;"-"&amp;G223&amp;"-"&amp;H223)</x:f>
        <x:v>KLA-D046-PNK-M</x:v>
      </x:c>
      <x:c r="B223" s="145" t="str"/>
      <x:c r="C223" s="146" t="str">
        <x:v>D046</x:v>
      </x:c>
      <x:c r="D223" s="112" t="str">
        <x:v>Zenelle Fringe Dress</x:v>
      </x:c>
      <x:c r="E223" s="112" t="str">
        <x:v>Dress</x:v>
      </x:c>
      <x:c r="F223" s="112" t="str">
        <x:v>Pink</x:v>
      </x:c>
      <x:c r="G223" s="146" t="str">
        <x:v>PNK</x:v>
      </x:c>
      <x:c r="H223" s="146" t="str">
        <x:v>M</x:v>
      </x:c>
      <x:c r="I223" s="147" t="n">
        <x:v>99</x:v>
      </x:c>
      <x:c r="J223" s="112" t="str">
        <x:v>International Warehouse</x:v>
      </x:c>
      <x:c r="K223" s="148" t="str"/>
      <x:c r="L223" s="148" t="str"/>
      <x:c r="M223" s="112" t="str">
        <x:v>Published</x:v>
      </x:c>
      <x:c r="N223" s="113" t="str">
        <x:v>https://www.klarelle.store/product/e6aa3408-a6ca-40cf-b903-8b8063be0249</x:v>
      </x:c>
      <x:c r="O223" s="113" t="str">
        <x:v>Supplier-held inventory; no NJ bin unless transferred</x:v>
      </x:c>
      <x:c r="P223" s="112" t="str">
        <x:f>A223</x:f>
        <x:v>KLA-D046-PNK-M</x:v>
      </x:c>
      <x:c r="Q223" s="112" t="str">
        <x:f>IF(COUNTIF($A$9:$A$303,A223)&gt;1,"DUPLICATE","OK")</x:f>
        <x:v>OK</x:v>
      </x:c>
    </x:row>
    <x:row r="224" ht="24" customHeight="1">
      <x:c r="A224" s="144" t="str">
        <x:f>IF(B224&lt;&gt;"",B224,"KLA-"&amp;C224&amp;"-"&amp;G224&amp;"-"&amp;H224)</x:f>
        <x:v>KLA-D046-PNK-S</x:v>
      </x:c>
      <x:c r="B224" s="145" t="str"/>
      <x:c r="C224" s="146" t="str">
        <x:v>D046</x:v>
      </x:c>
      <x:c r="D224" s="112" t="str">
        <x:v>Zenelle Fringe Dress</x:v>
      </x:c>
      <x:c r="E224" s="112" t="str">
        <x:v>Dress</x:v>
      </x:c>
      <x:c r="F224" s="112" t="str">
        <x:v>Pink</x:v>
      </x:c>
      <x:c r="G224" s="146" t="str">
        <x:v>PNK</x:v>
      </x:c>
      <x:c r="H224" s="146" t="str">
        <x:v>S</x:v>
      </x:c>
      <x:c r="I224" s="147" t="n">
        <x:v>99</x:v>
      </x:c>
      <x:c r="J224" s="112" t="str">
        <x:v>International Warehouse</x:v>
      </x:c>
      <x:c r="K224" s="148" t="str"/>
      <x:c r="L224" s="148" t="str"/>
      <x:c r="M224" s="112" t="str">
        <x:v>Published</x:v>
      </x:c>
      <x:c r="N224" s="113" t="str">
        <x:v>https://www.klarelle.store/product/e6aa3408-a6ca-40cf-b903-8b8063be0249</x:v>
      </x:c>
      <x:c r="O224" s="113" t="str">
        <x:v>Supplier-held inventory; no NJ bin unless transferred</x:v>
      </x:c>
      <x:c r="P224" s="112" t="str">
        <x:f>A224</x:f>
        <x:v>KLA-D046-PNK-S</x:v>
      </x:c>
      <x:c r="Q224" s="112" t="str">
        <x:f>IF(COUNTIF($A$9:$A$303,A224)&gt;1,"DUPLICATE","OK")</x:f>
        <x:v>OK</x:v>
      </x:c>
    </x:row>
    <x:row r="225" ht="24" customHeight="1">
      <x:c r="A225" s="144" t="str">
        <x:f>IF(B225&lt;&gt;"",B225,"KLA-"&amp;C225&amp;"-"&amp;G225&amp;"-"&amp;H225)</x:f>
        <x:v>KLA-D046-PNK-XL</x:v>
      </x:c>
      <x:c r="B225" s="145" t="str"/>
      <x:c r="C225" s="146" t="str">
        <x:v>D046</x:v>
      </x:c>
      <x:c r="D225" s="112" t="str">
        <x:v>Zenelle Fringe Dress</x:v>
      </x:c>
      <x:c r="E225" s="112" t="str">
        <x:v>Dress</x:v>
      </x:c>
      <x:c r="F225" s="112" t="str">
        <x:v>Pink</x:v>
      </x:c>
      <x:c r="G225" s="146" t="str">
        <x:v>PNK</x:v>
      </x:c>
      <x:c r="H225" s="146" t="str">
        <x:v>XL</x:v>
      </x:c>
      <x:c r="I225" s="147" t="n">
        <x:v>99</x:v>
      </x:c>
      <x:c r="J225" s="112" t="str">
        <x:v>International Warehouse</x:v>
      </x:c>
      <x:c r="K225" s="148" t="str"/>
      <x:c r="L225" s="148" t="str"/>
      <x:c r="M225" s="112" t="str">
        <x:v>Published</x:v>
      </x:c>
      <x:c r="N225" s="113" t="str">
        <x:v>https://www.klarelle.store/product/e6aa3408-a6ca-40cf-b903-8b8063be0249</x:v>
      </x:c>
      <x:c r="O225" s="113" t="str">
        <x:v>Supplier-held inventory; no NJ bin unless transferred</x:v>
      </x:c>
      <x:c r="P225" s="112" t="str">
        <x:f>A225</x:f>
        <x:v>KLA-D046-PNK-XL</x:v>
      </x:c>
      <x:c r="Q225" s="112" t="str">
        <x:f>IF(COUNTIF($A$9:$A$303,A225)&gt;1,"DUPLICATE","OK")</x:f>
        <x:v>OK</x:v>
      </x:c>
    </x:row>
    <x:row r="226" ht="24" customHeight="1">
      <x:c r="A226" s="144" t="str">
        <x:f>IF(B226&lt;&gt;"",B226,"KLA-"&amp;C226&amp;"-"&amp;G226&amp;"-"&amp;H226)</x:f>
        <x:v>KLA-D047-RED-L</x:v>
      </x:c>
      <x:c r="B226" s="145" t="str"/>
      <x:c r="C226" s="146" t="str">
        <x:v>D047</x:v>
      </x:c>
      <x:c r="D226" s="112" t="str">
        <x:v>Scarlett Élan Gown</x:v>
      </x:c>
      <x:c r="E226" s="112" t="str">
        <x:v>Dress</x:v>
      </x:c>
      <x:c r="F226" s="112" t="str">
        <x:v>Red</x:v>
      </x:c>
      <x:c r="G226" s="146" t="str">
        <x:v>RED</x:v>
      </x:c>
      <x:c r="H226" s="146" t="str">
        <x:v>L</x:v>
      </x:c>
      <x:c r="I226" s="147" t="n">
        <x:v>139</x:v>
      </x:c>
      <x:c r="J226" s="112" t="str">
        <x:v>International Warehouse</x:v>
      </x:c>
      <x:c r="K226" s="148" t="str"/>
      <x:c r="L226" s="148" t="str"/>
      <x:c r="M226" s="112" t="str">
        <x:v>Published</x:v>
      </x:c>
      <x:c r="N226" s="113" t="str">
        <x:v>https://www.klarelle.store/product/fb106103-db10-4fa1-8da0-7838e33baa79</x:v>
      </x:c>
      <x:c r="O226" s="113" t="str">
        <x:v>Supplier-held inventory; no NJ bin unless transferred</x:v>
      </x:c>
      <x:c r="P226" s="112" t="str">
        <x:f>A226</x:f>
        <x:v>KLA-D047-RED-L</x:v>
      </x:c>
      <x:c r="Q226" s="112" t="str">
        <x:f>IF(COUNTIF($A$9:$A$303,A226)&gt;1,"DUPLICATE","OK")</x:f>
        <x:v>OK</x:v>
      </x:c>
    </x:row>
    <x:row r="227" ht="24" customHeight="1">
      <x:c r="A227" s="144" t="str">
        <x:f>IF(B227&lt;&gt;"",B227,"KLA-"&amp;C227&amp;"-"&amp;G227&amp;"-"&amp;H227)</x:f>
        <x:v>KLA-D047-RED-M</x:v>
      </x:c>
      <x:c r="B227" s="145" t="str"/>
      <x:c r="C227" s="146" t="str">
        <x:v>D047</x:v>
      </x:c>
      <x:c r="D227" s="112" t="str">
        <x:v>Scarlett Élan Gown</x:v>
      </x:c>
      <x:c r="E227" s="112" t="str">
        <x:v>Dress</x:v>
      </x:c>
      <x:c r="F227" s="112" t="str">
        <x:v>Red</x:v>
      </x:c>
      <x:c r="G227" s="146" t="str">
        <x:v>RED</x:v>
      </x:c>
      <x:c r="H227" s="146" t="str">
        <x:v>M</x:v>
      </x:c>
      <x:c r="I227" s="147" t="n">
        <x:v>139</x:v>
      </x:c>
      <x:c r="J227" s="112" t="str">
        <x:v>International Warehouse</x:v>
      </x:c>
      <x:c r="K227" s="148" t="str"/>
      <x:c r="L227" s="148" t="str"/>
      <x:c r="M227" s="112" t="str">
        <x:v>Published</x:v>
      </x:c>
      <x:c r="N227" s="113" t="str">
        <x:v>https://www.klarelle.store/product/fb106103-db10-4fa1-8da0-7838e33baa79</x:v>
      </x:c>
      <x:c r="O227" s="113" t="str">
        <x:v>Supplier-held inventory; no NJ bin unless transferred</x:v>
      </x:c>
      <x:c r="P227" s="112" t="str">
        <x:f>A227</x:f>
        <x:v>KLA-D047-RED-M</x:v>
      </x:c>
      <x:c r="Q227" s="112" t="str">
        <x:f>IF(COUNTIF($A$9:$A$303,A227)&gt;1,"DUPLICATE","OK")</x:f>
        <x:v>OK</x:v>
      </x:c>
    </x:row>
    <x:row r="228" ht="24" customHeight="1">
      <x:c r="A228" s="144" t="str">
        <x:f>IF(B228&lt;&gt;"",B228,"KLA-"&amp;C228&amp;"-"&amp;G228&amp;"-"&amp;H228)</x:f>
        <x:v>KLA-D047-RED-S</x:v>
      </x:c>
      <x:c r="B228" s="145" t="str"/>
      <x:c r="C228" s="146" t="str">
        <x:v>D047</x:v>
      </x:c>
      <x:c r="D228" s="112" t="str">
        <x:v>Scarlett Élan Gown</x:v>
      </x:c>
      <x:c r="E228" s="112" t="str">
        <x:v>Dress</x:v>
      </x:c>
      <x:c r="F228" s="112" t="str">
        <x:v>Red</x:v>
      </x:c>
      <x:c r="G228" s="146" t="str">
        <x:v>RED</x:v>
      </x:c>
      <x:c r="H228" s="146" t="str">
        <x:v>S</x:v>
      </x:c>
      <x:c r="I228" s="147" t="n">
        <x:v>139</x:v>
      </x:c>
      <x:c r="J228" s="112" t="str">
        <x:v>International Warehouse</x:v>
      </x:c>
      <x:c r="K228" s="148" t="str"/>
      <x:c r="L228" s="148" t="str"/>
      <x:c r="M228" s="112" t="str">
        <x:v>Published</x:v>
      </x:c>
      <x:c r="N228" s="113" t="str">
        <x:v>https://www.klarelle.store/product/fb106103-db10-4fa1-8da0-7838e33baa79</x:v>
      </x:c>
      <x:c r="O228" s="113" t="str">
        <x:v>Supplier-held inventory; no NJ bin unless transferred</x:v>
      </x:c>
      <x:c r="P228" s="112" t="str">
        <x:f>A228</x:f>
        <x:v>KLA-D047-RED-S</x:v>
      </x:c>
      <x:c r="Q228" s="112" t="str">
        <x:f>IF(COUNTIF($A$9:$A$303,A228)&gt;1,"DUPLICATE","OK")</x:f>
        <x:v>OK</x:v>
      </x:c>
    </x:row>
    <x:row r="229" ht="24" customHeight="1">
      <x:c r="A229" s="144" t="str">
        <x:f>IF(B229&lt;&gt;"",B229,"KLA-"&amp;C229&amp;"-"&amp;G229&amp;"-"&amp;H229)</x:f>
        <x:v>KLA-D047-RED-XL</x:v>
      </x:c>
      <x:c r="B229" s="145" t="str"/>
      <x:c r="C229" s="146" t="str">
        <x:v>D047</x:v>
      </x:c>
      <x:c r="D229" s="112" t="str">
        <x:v>Scarlett Élan Gown</x:v>
      </x:c>
      <x:c r="E229" s="112" t="str">
        <x:v>Dress</x:v>
      </x:c>
      <x:c r="F229" s="112" t="str">
        <x:v>Red</x:v>
      </x:c>
      <x:c r="G229" s="146" t="str">
        <x:v>RED</x:v>
      </x:c>
      <x:c r="H229" s="146" t="str">
        <x:v>XL</x:v>
      </x:c>
      <x:c r="I229" s="147" t="n">
        <x:v>139</x:v>
      </x:c>
      <x:c r="J229" s="112" t="str">
        <x:v>International Warehouse</x:v>
      </x:c>
      <x:c r="K229" s="148" t="str"/>
      <x:c r="L229" s="148" t="str"/>
      <x:c r="M229" s="112" t="str">
        <x:v>Published</x:v>
      </x:c>
      <x:c r="N229" s="113" t="str">
        <x:v>https://www.klarelle.store/product/fb106103-db10-4fa1-8da0-7838e33baa79</x:v>
      </x:c>
      <x:c r="O229" s="113" t="str">
        <x:v>Supplier-held inventory; no NJ bin unless transferred</x:v>
      </x:c>
      <x:c r="P229" s="112" t="str">
        <x:f>A229</x:f>
        <x:v>KLA-D047-RED-XL</x:v>
      </x:c>
      <x:c r="Q229" s="112" t="str">
        <x:f>IF(COUNTIF($A$9:$A$303,A229)&gt;1,"DUPLICATE","OK")</x:f>
        <x:v>OK</x:v>
      </x:c>
    </x:row>
    <x:row r="230" ht="24" customHeight="1">
      <x:c r="A230" s="144" t="str">
        <x:f>IF(B230&lt;&gt;"",B230,"KLA-"&amp;C230&amp;"-"&amp;G230&amp;"-"&amp;H230)</x:f>
        <x:v>KLA-D048-GRN-L</x:v>
      </x:c>
      <x:c r="B230" s="145" t="str"/>
      <x:c r="C230" s="146" t="str">
        <x:v>D048</x:v>
      </x:c>
      <x:c r="D230" s="112" t="str">
        <x:v>Evangeline Gown</x:v>
      </x:c>
      <x:c r="E230" s="112" t="str">
        <x:v>Dress</x:v>
      </x:c>
      <x:c r="F230" s="112" t="str">
        <x:v>Green</x:v>
      </x:c>
      <x:c r="G230" s="146" t="str">
        <x:v>GRN</x:v>
      </x:c>
      <x:c r="H230" s="146" t="str">
        <x:v>L</x:v>
      </x:c>
      <x:c r="I230" s="147" t="n">
        <x:v>99</x:v>
      </x:c>
      <x:c r="J230" s="112" t="str">
        <x:v>International Warehouse</x:v>
      </x:c>
      <x:c r="K230" s="148" t="str"/>
      <x:c r="L230" s="148" t="str"/>
      <x:c r="M230" s="112" t="str">
        <x:v>Published</x:v>
      </x:c>
      <x:c r="N230" s="113" t="str">
        <x:v>https://www.klarelle.store/product/cabee3da-3a98-451e-bb5c-7ce2437b4dc6</x:v>
      </x:c>
      <x:c r="O230" s="113" t="str">
        <x:v>Supplier-held inventory; no NJ bin unless transferred</x:v>
      </x:c>
      <x:c r="P230" s="112" t="str">
        <x:f>A230</x:f>
        <x:v>KLA-D048-GRN-L</x:v>
      </x:c>
      <x:c r="Q230" s="112" t="str">
        <x:f>IF(COUNTIF($A$9:$A$303,A230)&gt;1,"DUPLICATE","OK")</x:f>
        <x:v>OK</x:v>
      </x:c>
    </x:row>
    <x:row r="231" ht="24" customHeight="1">
      <x:c r="A231" s="144" t="str">
        <x:f>IF(B231&lt;&gt;"",B231,"KLA-"&amp;C231&amp;"-"&amp;G231&amp;"-"&amp;H231)</x:f>
        <x:v>KLA-D048-GRN-M</x:v>
      </x:c>
      <x:c r="B231" s="145" t="str"/>
      <x:c r="C231" s="146" t="str">
        <x:v>D048</x:v>
      </x:c>
      <x:c r="D231" s="112" t="str">
        <x:v>Evangeline Gown</x:v>
      </x:c>
      <x:c r="E231" s="112" t="str">
        <x:v>Dress</x:v>
      </x:c>
      <x:c r="F231" s="112" t="str">
        <x:v>Green</x:v>
      </x:c>
      <x:c r="G231" s="146" t="str">
        <x:v>GRN</x:v>
      </x:c>
      <x:c r="H231" s="146" t="str">
        <x:v>M</x:v>
      </x:c>
      <x:c r="I231" s="147" t="n">
        <x:v>99</x:v>
      </x:c>
      <x:c r="J231" s="112" t="str">
        <x:v>International Warehouse</x:v>
      </x:c>
      <x:c r="K231" s="148" t="str"/>
      <x:c r="L231" s="148" t="str"/>
      <x:c r="M231" s="112" t="str">
        <x:v>Published</x:v>
      </x:c>
      <x:c r="N231" s="113" t="str">
        <x:v>https://www.klarelle.store/product/cabee3da-3a98-451e-bb5c-7ce2437b4dc6</x:v>
      </x:c>
      <x:c r="O231" s="113" t="str">
        <x:v>Supplier-held inventory; no NJ bin unless transferred</x:v>
      </x:c>
      <x:c r="P231" s="112" t="str">
        <x:f>A231</x:f>
        <x:v>KLA-D048-GRN-M</x:v>
      </x:c>
      <x:c r="Q231" s="112" t="str">
        <x:f>IF(COUNTIF($A$9:$A$303,A231)&gt;1,"DUPLICATE","OK")</x:f>
        <x:v>OK</x:v>
      </x:c>
    </x:row>
    <x:row r="232" ht="24" customHeight="1">
      <x:c r="A232" s="144" t="str">
        <x:f>IF(B232&lt;&gt;"",B232,"KLA-"&amp;C232&amp;"-"&amp;G232&amp;"-"&amp;H232)</x:f>
        <x:v>KLA-D048-GRN-S</x:v>
      </x:c>
      <x:c r="B232" s="145" t="str"/>
      <x:c r="C232" s="146" t="str">
        <x:v>D048</x:v>
      </x:c>
      <x:c r="D232" s="112" t="str">
        <x:v>Evangeline Gown</x:v>
      </x:c>
      <x:c r="E232" s="112" t="str">
        <x:v>Dress</x:v>
      </x:c>
      <x:c r="F232" s="112" t="str">
        <x:v>Green</x:v>
      </x:c>
      <x:c r="G232" s="146" t="str">
        <x:v>GRN</x:v>
      </x:c>
      <x:c r="H232" s="146" t="str">
        <x:v>S</x:v>
      </x:c>
      <x:c r="I232" s="147" t="n">
        <x:v>99</x:v>
      </x:c>
      <x:c r="J232" s="112" t="str">
        <x:v>International Warehouse</x:v>
      </x:c>
      <x:c r="K232" s="148" t="str"/>
      <x:c r="L232" s="148" t="str"/>
      <x:c r="M232" s="112" t="str">
        <x:v>Published</x:v>
      </x:c>
      <x:c r="N232" s="113" t="str">
        <x:v>https://www.klarelle.store/product/cabee3da-3a98-451e-bb5c-7ce2437b4dc6</x:v>
      </x:c>
      <x:c r="O232" s="113" t="str">
        <x:v>Supplier-held inventory; no NJ bin unless transferred</x:v>
      </x:c>
      <x:c r="P232" s="112" t="str">
        <x:f>A232</x:f>
        <x:v>KLA-D048-GRN-S</x:v>
      </x:c>
      <x:c r="Q232" s="112" t="str">
        <x:f>IF(COUNTIF($A$9:$A$303,A232)&gt;1,"DUPLICATE","OK")</x:f>
        <x:v>OK</x:v>
      </x:c>
    </x:row>
    <x:row r="233" ht="24" customHeight="1">
      <x:c r="A233" s="144" t="str">
        <x:f>IF(B233&lt;&gt;"",B233,"KLA-"&amp;C233&amp;"-"&amp;G233&amp;"-"&amp;H233)</x:f>
        <x:v>KLA-D048-GRN-XL</x:v>
      </x:c>
      <x:c r="B233" s="145" t="str"/>
      <x:c r="C233" s="146" t="str">
        <x:v>D048</x:v>
      </x:c>
      <x:c r="D233" s="112" t="str">
        <x:v>Evangeline Gown</x:v>
      </x:c>
      <x:c r="E233" s="112" t="str">
        <x:v>Dress</x:v>
      </x:c>
      <x:c r="F233" s="112" t="str">
        <x:v>Green</x:v>
      </x:c>
      <x:c r="G233" s="146" t="str">
        <x:v>GRN</x:v>
      </x:c>
      <x:c r="H233" s="146" t="str">
        <x:v>XL</x:v>
      </x:c>
      <x:c r="I233" s="147" t="n">
        <x:v>99</x:v>
      </x:c>
      <x:c r="J233" s="112" t="str">
        <x:v>International Warehouse</x:v>
      </x:c>
      <x:c r="K233" s="148" t="str"/>
      <x:c r="L233" s="148" t="str"/>
      <x:c r="M233" s="112" t="str">
        <x:v>Published</x:v>
      </x:c>
      <x:c r="N233" s="113" t="str">
        <x:v>https://www.klarelle.store/product/cabee3da-3a98-451e-bb5c-7ce2437b4dc6</x:v>
      </x:c>
      <x:c r="O233" s="113" t="str">
        <x:v>Supplier-held inventory; no NJ bin unless transferred</x:v>
      </x:c>
      <x:c r="P233" s="112" t="str">
        <x:f>A233</x:f>
        <x:v>KLA-D048-GRN-XL</x:v>
      </x:c>
      <x:c r="Q233" s="112" t="str">
        <x:f>IF(COUNTIF($A$9:$A$303,A233)&gt;1,"DUPLICATE","OK")</x:f>
        <x:v>OK</x:v>
      </x:c>
    </x:row>
    <x:row r="234" ht="24" customHeight="1">
      <x:c r="A234" s="144" t="str">
        <x:f>IF(B234&lt;&gt;"",B234,"KLA-"&amp;C234&amp;"-"&amp;G234&amp;"-"&amp;H234)</x:f>
        <x:v>KLA-D049-BRN-L</x:v>
      </x:c>
      <x:c r="B234" s="145" t="str"/>
      <x:c r="C234" s="146" t="str">
        <x:v>D049</x:v>
      </x:c>
      <x:c r="D234" s="112" t="str">
        <x:v>Mariposa Gown</x:v>
      </x:c>
      <x:c r="E234" s="112" t="str">
        <x:v>Dress</x:v>
      </x:c>
      <x:c r="F234" s="112" t="str">
        <x:v>Brown</x:v>
      </x:c>
      <x:c r="G234" s="146" t="str">
        <x:v>BRN</x:v>
      </x:c>
      <x:c r="H234" s="146" t="str">
        <x:v>L</x:v>
      </x:c>
      <x:c r="I234" s="147" t="n">
        <x:v>85</x:v>
      </x:c>
      <x:c r="J234" s="112" t="str">
        <x:v>International Warehouse</x:v>
      </x:c>
      <x:c r="K234" s="148" t="str"/>
      <x:c r="L234" s="148" t="str"/>
      <x:c r="M234" s="112" t="str">
        <x:v>Published</x:v>
      </x:c>
      <x:c r="N234" s="113" t="str">
        <x:v>https://www.klarelle.store/product/9f760340-3a76-4269-b164-ed2968576f10</x:v>
      </x:c>
      <x:c r="O234" s="113" t="str">
        <x:v>Supplier-held inventory; no NJ bin unless transferred</x:v>
      </x:c>
      <x:c r="P234" s="112" t="str">
        <x:f>A234</x:f>
        <x:v>KLA-D049-BRN-L</x:v>
      </x:c>
      <x:c r="Q234" s="112" t="str">
        <x:f>IF(COUNTIF($A$9:$A$303,A234)&gt;1,"DUPLICATE","OK")</x:f>
        <x:v>OK</x:v>
      </x:c>
    </x:row>
    <x:row r="235" ht="24" customHeight="1">
      <x:c r="A235" s="144" t="str">
        <x:f>IF(B235&lt;&gt;"",B235,"KLA-"&amp;C235&amp;"-"&amp;G235&amp;"-"&amp;H235)</x:f>
        <x:v>KLA-D049-BRN-M</x:v>
      </x:c>
      <x:c r="B235" s="145" t="str"/>
      <x:c r="C235" s="146" t="str">
        <x:v>D049</x:v>
      </x:c>
      <x:c r="D235" s="112" t="str">
        <x:v>Mariposa Gown</x:v>
      </x:c>
      <x:c r="E235" s="112" t="str">
        <x:v>Dress</x:v>
      </x:c>
      <x:c r="F235" s="112" t="str">
        <x:v>Brown</x:v>
      </x:c>
      <x:c r="G235" s="146" t="str">
        <x:v>BRN</x:v>
      </x:c>
      <x:c r="H235" s="146" t="str">
        <x:v>M</x:v>
      </x:c>
      <x:c r="I235" s="147" t="n">
        <x:v>85</x:v>
      </x:c>
      <x:c r="J235" s="112" t="str">
        <x:v>International Warehouse</x:v>
      </x:c>
      <x:c r="K235" s="148" t="str"/>
      <x:c r="L235" s="148" t="str"/>
      <x:c r="M235" s="112" t="str">
        <x:v>Published</x:v>
      </x:c>
      <x:c r="N235" s="113" t="str">
        <x:v>https://www.klarelle.store/product/9f760340-3a76-4269-b164-ed2968576f10</x:v>
      </x:c>
      <x:c r="O235" s="113" t="str">
        <x:v>Supplier-held inventory; no NJ bin unless transferred</x:v>
      </x:c>
      <x:c r="P235" s="112" t="str">
        <x:f>A235</x:f>
        <x:v>KLA-D049-BRN-M</x:v>
      </x:c>
      <x:c r="Q235" s="112" t="str">
        <x:f>IF(COUNTIF($A$9:$A$303,A235)&gt;1,"DUPLICATE","OK")</x:f>
        <x:v>OK</x:v>
      </x:c>
    </x:row>
    <x:row r="236" ht="24" customHeight="1">
      <x:c r="A236" s="144" t="str">
        <x:f>IF(B236&lt;&gt;"",B236,"KLA-"&amp;C236&amp;"-"&amp;G236&amp;"-"&amp;H236)</x:f>
        <x:v>KLA-D049-BRN-S</x:v>
      </x:c>
      <x:c r="B236" s="145" t="str"/>
      <x:c r="C236" s="146" t="str">
        <x:v>D049</x:v>
      </x:c>
      <x:c r="D236" s="112" t="str">
        <x:v>Mariposa Gown</x:v>
      </x:c>
      <x:c r="E236" s="112" t="str">
        <x:v>Dress</x:v>
      </x:c>
      <x:c r="F236" s="112" t="str">
        <x:v>Brown</x:v>
      </x:c>
      <x:c r="G236" s="146" t="str">
        <x:v>BRN</x:v>
      </x:c>
      <x:c r="H236" s="146" t="str">
        <x:v>S</x:v>
      </x:c>
      <x:c r="I236" s="147" t="n">
        <x:v>85</x:v>
      </x:c>
      <x:c r="J236" s="112" t="str">
        <x:v>International Warehouse</x:v>
      </x:c>
      <x:c r="K236" s="148" t="str"/>
      <x:c r="L236" s="148" t="str"/>
      <x:c r="M236" s="112" t="str">
        <x:v>Published</x:v>
      </x:c>
      <x:c r="N236" s="113" t="str">
        <x:v>https://www.klarelle.store/product/9f760340-3a76-4269-b164-ed2968576f10</x:v>
      </x:c>
      <x:c r="O236" s="113" t="str">
        <x:v>Supplier-held inventory; no NJ bin unless transferred</x:v>
      </x:c>
      <x:c r="P236" s="112" t="str">
        <x:f>A236</x:f>
        <x:v>KLA-D049-BRN-S</x:v>
      </x:c>
      <x:c r="Q236" s="112" t="str">
        <x:f>IF(COUNTIF($A$9:$A$303,A236)&gt;1,"DUPLICATE","OK")</x:f>
        <x:v>OK</x:v>
      </x:c>
    </x:row>
    <x:row r="237" ht="24" customHeight="1">
      <x:c r="A237" s="144" t="str">
        <x:f>IF(B237&lt;&gt;"",B237,"KLA-"&amp;C237&amp;"-"&amp;G237&amp;"-"&amp;H237)</x:f>
        <x:v>KLA-D049-BRN-XL</x:v>
      </x:c>
      <x:c r="B237" s="145" t="str"/>
      <x:c r="C237" s="146" t="str">
        <x:v>D049</x:v>
      </x:c>
      <x:c r="D237" s="112" t="str">
        <x:v>Mariposa Gown</x:v>
      </x:c>
      <x:c r="E237" s="112" t="str">
        <x:v>Dress</x:v>
      </x:c>
      <x:c r="F237" s="112" t="str">
        <x:v>Brown</x:v>
      </x:c>
      <x:c r="G237" s="146" t="str">
        <x:v>BRN</x:v>
      </x:c>
      <x:c r="H237" s="146" t="str">
        <x:v>XL</x:v>
      </x:c>
      <x:c r="I237" s="147" t="n">
        <x:v>85</x:v>
      </x:c>
      <x:c r="J237" s="112" t="str">
        <x:v>International Warehouse</x:v>
      </x:c>
      <x:c r="K237" s="148" t="str"/>
      <x:c r="L237" s="148" t="str"/>
      <x:c r="M237" s="112" t="str">
        <x:v>Published</x:v>
      </x:c>
      <x:c r="N237" s="113" t="str">
        <x:v>https://www.klarelle.store/product/9f760340-3a76-4269-b164-ed2968576f10</x:v>
      </x:c>
      <x:c r="O237" s="113" t="str">
        <x:v>Supplier-held inventory; no NJ bin unless transferred</x:v>
      </x:c>
      <x:c r="P237" s="112" t="str">
        <x:f>A237</x:f>
        <x:v>KLA-D049-BRN-XL</x:v>
      </x:c>
      <x:c r="Q237" s="112" t="str">
        <x:f>IF(COUNTIF($A$9:$A$303,A237)&gt;1,"DUPLICATE","OK")</x:f>
        <x:v>OK</x:v>
      </x:c>
    </x:row>
    <x:row r="238" ht="24" customHeight="1">
      <x:c r="A238" s="144" t="str">
        <x:f>IF(B238&lt;&gt;"",B238,"KLA-"&amp;C238&amp;"-"&amp;G238&amp;"-"&amp;H238)</x:f>
        <x:v>KLA-D050-GRN-L</x:v>
      </x:c>
      <x:c r="B238" s="145" t="str"/>
      <x:c r="C238" s="146" t="str">
        <x:v>D050</x:v>
      </x:c>
      <x:c r="D238" s="112" t="str">
        <x:v>Rosavelle Dress</x:v>
      </x:c>
      <x:c r="E238" s="112" t="str">
        <x:v>Dress</x:v>
      </x:c>
      <x:c r="F238" s="112" t="str">
        <x:v>Green</x:v>
      </x:c>
      <x:c r="G238" s="146" t="str">
        <x:v>GRN</x:v>
      </x:c>
      <x:c r="H238" s="146" t="str">
        <x:v>L</x:v>
      </x:c>
      <x:c r="I238" s="147" t="n">
        <x:v>89</x:v>
      </x:c>
      <x:c r="J238" s="112" t="str">
        <x:v>International Warehouse</x:v>
      </x:c>
      <x:c r="K238" s="148" t="str"/>
      <x:c r="L238" s="148" t="str"/>
      <x:c r="M238" s="112" t="str">
        <x:v>Published</x:v>
      </x:c>
      <x:c r="N238" s="113" t="str">
        <x:v>https://www.klarelle.store/product/abad4a33-7ce5-471c-b4f0-059787079bc5</x:v>
      </x:c>
      <x:c r="O238" s="113" t="str">
        <x:v>Supplier-held inventory; no NJ bin unless transferred</x:v>
      </x:c>
      <x:c r="P238" s="112" t="str">
        <x:f>A238</x:f>
        <x:v>KLA-D050-GRN-L</x:v>
      </x:c>
      <x:c r="Q238" s="112" t="str">
        <x:f>IF(COUNTIF($A$9:$A$303,A238)&gt;1,"DUPLICATE","OK")</x:f>
        <x:v>OK</x:v>
      </x:c>
    </x:row>
    <x:row r="239" ht="24" customHeight="1">
      <x:c r="A239" s="144" t="str">
        <x:f>IF(B239&lt;&gt;"",B239,"KLA-"&amp;C239&amp;"-"&amp;G239&amp;"-"&amp;H239)</x:f>
        <x:v>KLA-D050-GRN-M</x:v>
      </x:c>
      <x:c r="B239" s="145" t="str"/>
      <x:c r="C239" s="146" t="str">
        <x:v>D050</x:v>
      </x:c>
      <x:c r="D239" s="112" t="str">
        <x:v>Rosavelle Dress</x:v>
      </x:c>
      <x:c r="E239" s="112" t="str">
        <x:v>Dress</x:v>
      </x:c>
      <x:c r="F239" s="112" t="str">
        <x:v>Green</x:v>
      </x:c>
      <x:c r="G239" s="146" t="str">
        <x:v>GRN</x:v>
      </x:c>
      <x:c r="H239" s="146" t="str">
        <x:v>M</x:v>
      </x:c>
      <x:c r="I239" s="147" t="n">
        <x:v>89</x:v>
      </x:c>
      <x:c r="J239" s="112" t="str">
        <x:v>International Warehouse</x:v>
      </x:c>
      <x:c r="K239" s="148" t="str"/>
      <x:c r="L239" s="148" t="str"/>
      <x:c r="M239" s="112" t="str">
        <x:v>Published</x:v>
      </x:c>
      <x:c r="N239" s="113" t="str">
        <x:v>https://www.klarelle.store/product/abad4a33-7ce5-471c-b4f0-059787079bc5</x:v>
      </x:c>
      <x:c r="O239" s="113" t="str">
        <x:v>Supplier-held inventory; no NJ bin unless transferred</x:v>
      </x:c>
      <x:c r="P239" s="112" t="str">
        <x:f>A239</x:f>
        <x:v>KLA-D050-GRN-M</x:v>
      </x:c>
      <x:c r="Q239" s="112" t="str">
        <x:f>IF(COUNTIF($A$9:$A$303,A239)&gt;1,"DUPLICATE","OK")</x:f>
        <x:v>OK</x:v>
      </x:c>
    </x:row>
    <x:row r="240" ht="24" customHeight="1">
      <x:c r="A240" s="144" t="str">
        <x:f>IF(B240&lt;&gt;"",B240,"KLA-"&amp;C240&amp;"-"&amp;G240&amp;"-"&amp;H240)</x:f>
        <x:v>KLA-D050-GRN-S</x:v>
      </x:c>
      <x:c r="B240" s="145" t="str"/>
      <x:c r="C240" s="146" t="str">
        <x:v>D050</x:v>
      </x:c>
      <x:c r="D240" s="112" t="str">
        <x:v>Rosavelle Dress</x:v>
      </x:c>
      <x:c r="E240" s="112" t="str">
        <x:v>Dress</x:v>
      </x:c>
      <x:c r="F240" s="112" t="str">
        <x:v>Green</x:v>
      </x:c>
      <x:c r="G240" s="146" t="str">
        <x:v>GRN</x:v>
      </x:c>
      <x:c r="H240" s="146" t="str">
        <x:v>S</x:v>
      </x:c>
      <x:c r="I240" s="147" t="n">
        <x:v>89</x:v>
      </x:c>
      <x:c r="J240" s="112" t="str">
        <x:v>International Warehouse</x:v>
      </x:c>
      <x:c r="K240" s="148" t="str"/>
      <x:c r="L240" s="148" t="str"/>
      <x:c r="M240" s="112" t="str">
        <x:v>Published</x:v>
      </x:c>
      <x:c r="N240" s="113" t="str">
        <x:v>https://www.klarelle.store/product/abad4a33-7ce5-471c-b4f0-059787079bc5</x:v>
      </x:c>
      <x:c r="O240" s="113" t="str">
        <x:v>Supplier-held inventory; no NJ bin unless transferred</x:v>
      </x:c>
      <x:c r="P240" s="112" t="str">
        <x:f>A240</x:f>
        <x:v>KLA-D050-GRN-S</x:v>
      </x:c>
      <x:c r="Q240" s="112" t="str">
        <x:f>IF(COUNTIF($A$9:$A$303,A240)&gt;1,"DUPLICATE","OK")</x:f>
        <x:v>OK</x:v>
      </x:c>
    </x:row>
    <x:row r="241" ht="24" customHeight="1">
      <x:c r="A241" s="144" t="str">
        <x:f>IF(B241&lt;&gt;"",B241,"KLA-"&amp;C241&amp;"-"&amp;G241&amp;"-"&amp;H241)</x:f>
        <x:v>KLA-D050-GRN-XL</x:v>
      </x:c>
      <x:c r="B241" s="145" t="str"/>
      <x:c r="C241" s="146" t="str">
        <x:v>D050</x:v>
      </x:c>
      <x:c r="D241" s="112" t="str">
        <x:v>Rosavelle Dress</x:v>
      </x:c>
      <x:c r="E241" s="112" t="str">
        <x:v>Dress</x:v>
      </x:c>
      <x:c r="F241" s="112" t="str">
        <x:v>Green</x:v>
      </x:c>
      <x:c r="G241" s="146" t="str">
        <x:v>GRN</x:v>
      </x:c>
      <x:c r="H241" s="146" t="str">
        <x:v>XL</x:v>
      </x:c>
      <x:c r="I241" s="147" t="n">
        <x:v>89</x:v>
      </x:c>
      <x:c r="J241" s="112" t="str">
        <x:v>International Warehouse</x:v>
      </x:c>
      <x:c r="K241" s="148" t="str"/>
      <x:c r="L241" s="148" t="str"/>
      <x:c r="M241" s="112" t="str">
        <x:v>Published</x:v>
      </x:c>
      <x:c r="N241" s="113" t="str">
        <x:v>https://www.klarelle.store/product/abad4a33-7ce5-471c-b4f0-059787079bc5</x:v>
      </x:c>
      <x:c r="O241" s="113" t="str">
        <x:v>Supplier-held inventory; no NJ bin unless transferred</x:v>
      </x:c>
      <x:c r="P241" s="112" t="str">
        <x:f>A241</x:f>
        <x:v>KLA-D050-GRN-XL</x:v>
      </x:c>
      <x:c r="Q241" s="112" t="str">
        <x:f>IF(COUNTIF($A$9:$A$303,A241)&gt;1,"DUPLICATE","OK")</x:f>
        <x:v>OK</x:v>
      </x:c>
    </x:row>
    <x:row r="242" ht="24" customHeight="1">
      <x:c r="A242" s="144" t="str">
        <x:f>IF(B242&lt;&gt;"",B242,"KLA-"&amp;C242&amp;"-"&amp;G242&amp;"-"&amp;H242)</x:f>
        <x:v>KLA-D051-BWT-L</x:v>
      </x:c>
      <x:c r="B242" s="145" t="str"/>
      <x:c r="C242" s="146" t="str">
        <x:v>D051</x:v>
      </x:c>
      <x:c r="D242" s="112" t="str">
        <x:v>Mirelle Gown</x:v>
      </x:c>
      <x:c r="E242" s="112" t="str">
        <x:v>Dress</x:v>
      </x:c>
      <x:c r="F242" s="112" t="str">
        <x:v>Black And White</x:v>
      </x:c>
      <x:c r="G242" s="146" t="str">
        <x:v>BWT</x:v>
      </x:c>
      <x:c r="H242" s="146" t="str">
        <x:v>L</x:v>
      </x:c>
      <x:c r="I242" s="147" t="n">
        <x:v>90</x:v>
      </x:c>
      <x:c r="J242" s="112" t="str">
        <x:v>International Warehouse</x:v>
      </x:c>
      <x:c r="K242" s="148" t="str"/>
      <x:c r="L242" s="148" t="str"/>
      <x:c r="M242" s="112" t="str">
        <x:v>Published</x:v>
      </x:c>
      <x:c r="N242" s="113" t="str">
        <x:v>https://www.klarelle.store/product/061ca12b-4f93-4537-a201-5a5332ab68ea</x:v>
      </x:c>
      <x:c r="O242" s="113" t="str">
        <x:v>Supplier-held inventory; no NJ bin unless transferred</x:v>
      </x:c>
      <x:c r="P242" s="112" t="str">
        <x:f>A242</x:f>
        <x:v>KLA-D051-BWT-L</x:v>
      </x:c>
      <x:c r="Q242" s="112" t="str">
        <x:f>IF(COUNTIF($A$9:$A$303,A242)&gt;1,"DUPLICATE","OK")</x:f>
        <x:v>OK</x:v>
      </x:c>
    </x:row>
    <x:row r="243" ht="24" customHeight="1">
      <x:c r="A243" s="144" t="str">
        <x:f>IF(B243&lt;&gt;"",B243,"KLA-"&amp;C243&amp;"-"&amp;G243&amp;"-"&amp;H243)</x:f>
        <x:v>KLA-D051-BWT-M</x:v>
      </x:c>
      <x:c r="B243" s="145" t="str"/>
      <x:c r="C243" s="146" t="str">
        <x:v>D051</x:v>
      </x:c>
      <x:c r="D243" s="112" t="str">
        <x:v>Mirelle Gown</x:v>
      </x:c>
      <x:c r="E243" s="112" t="str">
        <x:v>Dress</x:v>
      </x:c>
      <x:c r="F243" s="112" t="str">
        <x:v>Black And White</x:v>
      </x:c>
      <x:c r="G243" s="146" t="str">
        <x:v>BWT</x:v>
      </x:c>
      <x:c r="H243" s="146" t="str">
        <x:v>M</x:v>
      </x:c>
      <x:c r="I243" s="147" t="n">
        <x:v>90</x:v>
      </x:c>
      <x:c r="J243" s="112" t="str">
        <x:v>International Warehouse</x:v>
      </x:c>
      <x:c r="K243" s="148" t="str"/>
      <x:c r="L243" s="148" t="str"/>
      <x:c r="M243" s="112" t="str">
        <x:v>Published</x:v>
      </x:c>
      <x:c r="N243" s="113" t="str">
        <x:v>https://www.klarelle.store/product/061ca12b-4f93-4537-a201-5a5332ab68ea</x:v>
      </x:c>
      <x:c r="O243" s="113" t="str">
        <x:v>Supplier-held inventory; no NJ bin unless transferred</x:v>
      </x:c>
      <x:c r="P243" s="112" t="str">
        <x:f>A243</x:f>
        <x:v>KLA-D051-BWT-M</x:v>
      </x:c>
      <x:c r="Q243" s="112" t="str">
        <x:f>IF(COUNTIF($A$9:$A$303,A243)&gt;1,"DUPLICATE","OK")</x:f>
        <x:v>OK</x:v>
      </x:c>
    </x:row>
    <x:row r="244" ht="24" customHeight="1">
      <x:c r="A244" s="144" t="str">
        <x:f>IF(B244&lt;&gt;"",B244,"KLA-"&amp;C244&amp;"-"&amp;G244&amp;"-"&amp;H244)</x:f>
        <x:v>KLA-D051-BWT-S</x:v>
      </x:c>
      <x:c r="B244" s="145" t="str"/>
      <x:c r="C244" s="146" t="str">
        <x:v>D051</x:v>
      </x:c>
      <x:c r="D244" s="112" t="str">
        <x:v>Mirelle Gown</x:v>
      </x:c>
      <x:c r="E244" s="112" t="str">
        <x:v>Dress</x:v>
      </x:c>
      <x:c r="F244" s="112" t="str">
        <x:v>Black And White</x:v>
      </x:c>
      <x:c r="G244" s="146" t="str">
        <x:v>BWT</x:v>
      </x:c>
      <x:c r="H244" s="146" t="str">
        <x:v>S</x:v>
      </x:c>
      <x:c r="I244" s="147" t="n">
        <x:v>90</x:v>
      </x:c>
      <x:c r="J244" s="112" t="str">
        <x:v>International Warehouse</x:v>
      </x:c>
      <x:c r="K244" s="148" t="str"/>
      <x:c r="L244" s="148" t="str"/>
      <x:c r="M244" s="112" t="str">
        <x:v>Published</x:v>
      </x:c>
      <x:c r="N244" s="113" t="str">
        <x:v>https://www.klarelle.store/product/061ca12b-4f93-4537-a201-5a5332ab68ea</x:v>
      </x:c>
      <x:c r="O244" s="113" t="str">
        <x:v>Supplier-held inventory; no NJ bin unless transferred</x:v>
      </x:c>
      <x:c r="P244" s="112" t="str">
        <x:f>A244</x:f>
        <x:v>KLA-D051-BWT-S</x:v>
      </x:c>
      <x:c r="Q244" s="112" t="str">
        <x:f>IF(COUNTIF($A$9:$A$303,A244)&gt;1,"DUPLICATE","OK")</x:f>
        <x:v>OK</x:v>
      </x:c>
    </x:row>
    <x:row r="245" ht="24" customHeight="1">
      <x:c r="A245" s="144" t="str">
        <x:f>IF(B245&lt;&gt;"",B245,"KLA-"&amp;C245&amp;"-"&amp;G245&amp;"-"&amp;H245)</x:f>
        <x:v>KLA-D051-BWT-XL</x:v>
      </x:c>
      <x:c r="B245" s="145" t="str"/>
      <x:c r="C245" s="146" t="str">
        <x:v>D051</x:v>
      </x:c>
      <x:c r="D245" s="112" t="str">
        <x:v>Mirelle Gown</x:v>
      </x:c>
      <x:c r="E245" s="112" t="str">
        <x:v>Dress</x:v>
      </x:c>
      <x:c r="F245" s="112" t="str">
        <x:v>Black And White</x:v>
      </x:c>
      <x:c r="G245" s="146" t="str">
        <x:v>BWT</x:v>
      </x:c>
      <x:c r="H245" s="146" t="str">
        <x:v>XL</x:v>
      </x:c>
      <x:c r="I245" s="147" t="n">
        <x:v>90</x:v>
      </x:c>
      <x:c r="J245" s="112" t="str">
        <x:v>International Warehouse</x:v>
      </x:c>
      <x:c r="K245" s="148" t="str"/>
      <x:c r="L245" s="148" t="str"/>
      <x:c r="M245" s="112" t="str">
        <x:v>Published</x:v>
      </x:c>
      <x:c r="N245" s="113" t="str">
        <x:v>https://www.klarelle.store/product/061ca12b-4f93-4537-a201-5a5332ab68ea</x:v>
      </x:c>
      <x:c r="O245" s="113" t="str">
        <x:v>Supplier-held inventory; no NJ bin unless transferred</x:v>
      </x:c>
      <x:c r="P245" s="112" t="str">
        <x:f>A245</x:f>
        <x:v>KLA-D051-BWT-XL</x:v>
      </x:c>
      <x:c r="Q245" s="112" t="str">
        <x:f>IF(COUNTIF($A$9:$A$303,A245)&gt;1,"DUPLICATE","OK")</x:f>
        <x:v>OK</x:v>
      </x:c>
    </x:row>
    <x:row r="246" ht="24" customHeight="1">
      <x:c r="A246" s="144" t="str">
        <x:f>IF(B246&lt;&gt;"",B246,"KLA-"&amp;C246&amp;"-"&amp;G246&amp;"-"&amp;H246)</x:f>
        <x:v>KLA-D052-GRN-L</x:v>
      </x:c>
      <x:c r="B246" s="145" t="str"/>
      <x:c r="C246" s="146" t="str">
        <x:v>D052</x:v>
      </x:c>
      <x:c r="D246" s="112" t="str">
        <x:v>Emeraldé Gown</x:v>
      </x:c>
      <x:c r="E246" s="112" t="str">
        <x:v>Dress</x:v>
      </x:c>
      <x:c r="F246" s="112" t="str">
        <x:v>Green</x:v>
      </x:c>
      <x:c r="G246" s="146" t="str">
        <x:v>GRN</x:v>
      </x:c>
      <x:c r="H246" s="146" t="str">
        <x:v>L</x:v>
      </x:c>
      <x:c r="I246" s="147" t="n">
        <x:v>94</x:v>
      </x:c>
      <x:c r="J246" s="112" t="str">
        <x:v>International Warehouse</x:v>
      </x:c>
      <x:c r="K246" s="148" t="str"/>
      <x:c r="L246" s="148" t="str"/>
      <x:c r="M246" s="112" t="str">
        <x:v>Published</x:v>
      </x:c>
      <x:c r="N246" s="113" t="str">
        <x:v>https://www.klarelle.store/product/f6933692-86ea-42bc-8699-538d568f6cdd</x:v>
      </x:c>
      <x:c r="O246" s="113" t="str">
        <x:v>Supplier-held inventory; no NJ bin unless transferred</x:v>
      </x:c>
      <x:c r="P246" s="112" t="str">
        <x:f>A246</x:f>
        <x:v>KLA-D052-GRN-L</x:v>
      </x:c>
      <x:c r="Q246" s="112" t="str">
        <x:f>IF(COUNTIF($A$9:$A$303,A246)&gt;1,"DUPLICATE","OK")</x:f>
        <x:v>OK</x:v>
      </x:c>
    </x:row>
    <x:row r="247" ht="24" customHeight="1">
      <x:c r="A247" s="144" t="str">
        <x:f>IF(B247&lt;&gt;"",B247,"KLA-"&amp;C247&amp;"-"&amp;G247&amp;"-"&amp;H247)</x:f>
        <x:v>KLA-D052-GRN-M</x:v>
      </x:c>
      <x:c r="B247" s="145" t="str"/>
      <x:c r="C247" s="146" t="str">
        <x:v>D052</x:v>
      </x:c>
      <x:c r="D247" s="112" t="str">
        <x:v>Emeraldé Gown</x:v>
      </x:c>
      <x:c r="E247" s="112" t="str">
        <x:v>Dress</x:v>
      </x:c>
      <x:c r="F247" s="112" t="str">
        <x:v>Green</x:v>
      </x:c>
      <x:c r="G247" s="146" t="str">
        <x:v>GRN</x:v>
      </x:c>
      <x:c r="H247" s="146" t="str">
        <x:v>M</x:v>
      </x:c>
      <x:c r="I247" s="147" t="n">
        <x:v>94</x:v>
      </x:c>
      <x:c r="J247" s="112" t="str">
        <x:v>International Warehouse</x:v>
      </x:c>
      <x:c r="K247" s="148" t="str"/>
      <x:c r="L247" s="148" t="str"/>
      <x:c r="M247" s="112" t="str">
        <x:v>Published</x:v>
      </x:c>
      <x:c r="N247" s="113" t="str">
        <x:v>https://www.klarelle.store/product/f6933692-86ea-42bc-8699-538d568f6cdd</x:v>
      </x:c>
      <x:c r="O247" s="113" t="str">
        <x:v>Supplier-held inventory; no NJ bin unless transferred</x:v>
      </x:c>
      <x:c r="P247" s="112" t="str">
        <x:f>A247</x:f>
        <x:v>KLA-D052-GRN-M</x:v>
      </x:c>
      <x:c r="Q247" s="112" t="str">
        <x:f>IF(COUNTIF($A$9:$A$303,A247)&gt;1,"DUPLICATE","OK")</x:f>
        <x:v>OK</x:v>
      </x:c>
    </x:row>
    <x:row r="248" ht="24" customHeight="1">
      <x:c r="A248" s="144" t="str">
        <x:f>IF(B248&lt;&gt;"",B248,"KLA-"&amp;C248&amp;"-"&amp;G248&amp;"-"&amp;H248)</x:f>
        <x:v>KLA-D052-GRN-S</x:v>
      </x:c>
      <x:c r="B248" s="145" t="str"/>
      <x:c r="C248" s="146" t="str">
        <x:v>D052</x:v>
      </x:c>
      <x:c r="D248" s="112" t="str">
        <x:v>Emeraldé Gown</x:v>
      </x:c>
      <x:c r="E248" s="112" t="str">
        <x:v>Dress</x:v>
      </x:c>
      <x:c r="F248" s="112" t="str">
        <x:v>Green</x:v>
      </x:c>
      <x:c r="G248" s="146" t="str">
        <x:v>GRN</x:v>
      </x:c>
      <x:c r="H248" s="146" t="str">
        <x:v>S</x:v>
      </x:c>
      <x:c r="I248" s="147" t="n">
        <x:v>94</x:v>
      </x:c>
      <x:c r="J248" s="112" t="str">
        <x:v>International Warehouse</x:v>
      </x:c>
      <x:c r="K248" s="148" t="str"/>
      <x:c r="L248" s="148" t="str"/>
      <x:c r="M248" s="112" t="str">
        <x:v>Published</x:v>
      </x:c>
      <x:c r="N248" s="113" t="str">
        <x:v>https://www.klarelle.store/product/f6933692-86ea-42bc-8699-538d568f6cdd</x:v>
      </x:c>
      <x:c r="O248" s="113" t="str">
        <x:v>Supplier-held inventory; no NJ bin unless transferred</x:v>
      </x:c>
      <x:c r="P248" s="112" t="str">
        <x:f>A248</x:f>
        <x:v>KLA-D052-GRN-S</x:v>
      </x:c>
      <x:c r="Q248" s="112" t="str">
        <x:f>IF(COUNTIF($A$9:$A$303,A248)&gt;1,"DUPLICATE","OK")</x:f>
        <x:v>OK</x:v>
      </x:c>
    </x:row>
    <x:row r="249" ht="24" customHeight="1">
      <x:c r="A249" s="144" t="str">
        <x:f>IF(B249&lt;&gt;"",B249,"KLA-"&amp;C249&amp;"-"&amp;G249&amp;"-"&amp;H249)</x:f>
        <x:v>KLA-D052-GRN-XL</x:v>
      </x:c>
      <x:c r="B249" s="145" t="str"/>
      <x:c r="C249" s="146" t="str">
        <x:v>D052</x:v>
      </x:c>
      <x:c r="D249" s="112" t="str">
        <x:v>Emeraldé Gown</x:v>
      </x:c>
      <x:c r="E249" s="112" t="str">
        <x:v>Dress</x:v>
      </x:c>
      <x:c r="F249" s="112" t="str">
        <x:v>Green</x:v>
      </x:c>
      <x:c r="G249" s="146" t="str">
        <x:v>GRN</x:v>
      </x:c>
      <x:c r="H249" s="146" t="str">
        <x:v>XL</x:v>
      </x:c>
      <x:c r="I249" s="147" t="n">
        <x:v>94</x:v>
      </x:c>
      <x:c r="J249" s="112" t="str">
        <x:v>International Warehouse</x:v>
      </x:c>
      <x:c r="K249" s="148" t="str"/>
      <x:c r="L249" s="148" t="str"/>
      <x:c r="M249" s="112" t="str">
        <x:v>Published</x:v>
      </x:c>
      <x:c r="N249" s="113" t="str">
        <x:v>https://www.klarelle.store/product/f6933692-86ea-42bc-8699-538d568f6cdd</x:v>
      </x:c>
      <x:c r="O249" s="113" t="str">
        <x:v>Supplier-held inventory; no NJ bin unless transferred</x:v>
      </x:c>
      <x:c r="P249" s="112" t="str">
        <x:f>A249</x:f>
        <x:v>KLA-D052-GRN-XL</x:v>
      </x:c>
      <x:c r="Q249" s="112" t="str">
        <x:f>IF(COUNTIF($A$9:$A$303,A249)&gt;1,"DUPLICATE","OK")</x:f>
        <x:v>OK</x:v>
      </x:c>
    </x:row>
    <x:row r="250" ht="24" customHeight="1">
      <x:c r="A250" s="144" t="str">
        <x:f>IF(B250&lt;&gt;"",B250,"KLA-"&amp;C250&amp;"-"&amp;G250&amp;"-"&amp;H250)</x:f>
        <x:v>KLA-D053-GRN-L</x:v>
      </x:c>
      <x:c r="B250" s="145" t="str"/>
      <x:c r="C250" s="146" t="str">
        <x:v>D053</x:v>
      </x:c>
      <x:c r="D250" s="112" t="str">
        <x:v>Amélisse Gown</x:v>
      </x:c>
      <x:c r="E250" s="112" t="str">
        <x:v>Dress</x:v>
      </x:c>
      <x:c r="F250" s="112" t="str">
        <x:v>Green</x:v>
      </x:c>
      <x:c r="G250" s="146" t="str">
        <x:v>GRN</x:v>
      </x:c>
      <x:c r="H250" s="146" t="str">
        <x:v>L</x:v>
      </x:c>
      <x:c r="I250" s="147" t="n">
        <x:v>89</x:v>
      </x:c>
      <x:c r="J250" s="112" t="str">
        <x:v>International Warehouse</x:v>
      </x:c>
      <x:c r="K250" s="148" t="str"/>
      <x:c r="L250" s="148" t="str"/>
      <x:c r="M250" s="112" t="str">
        <x:v>Published</x:v>
      </x:c>
      <x:c r="N250" s="113" t="str">
        <x:v>https://www.klarelle.store/product/745c0502-a604-4606-ae64-eab216ac0c19</x:v>
      </x:c>
      <x:c r="O250" s="113" t="str">
        <x:v>Supplier-held inventory; no NJ bin unless transferred</x:v>
      </x:c>
      <x:c r="P250" s="112" t="str">
        <x:f>A250</x:f>
        <x:v>KLA-D053-GRN-L</x:v>
      </x:c>
      <x:c r="Q250" s="112" t="str">
        <x:f>IF(COUNTIF($A$9:$A$303,A250)&gt;1,"DUPLICATE","OK")</x:f>
        <x:v>OK</x:v>
      </x:c>
    </x:row>
    <x:row r="251" ht="24" customHeight="1">
      <x:c r="A251" s="144" t="str">
        <x:f>IF(B251&lt;&gt;"",B251,"KLA-"&amp;C251&amp;"-"&amp;G251&amp;"-"&amp;H251)</x:f>
        <x:v>KLA-D053-GRN-M</x:v>
      </x:c>
      <x:c r="B251" s="145" t="str"/>
      <x:c r="C251" s="146" t="str">
        <x:v>D053</x:v>
      </x:c>
      <x:c r="D251" s="112" t="str">
        <x:v>Amélisse Gown</x:v>
      </x:c>
      <x:c r="E251" s="112" t="str">
        <x:v>Dress</x:v>
      </x:c>
      <x:c r="F251" s="112" t="str">
        <x:v>Green</x:v>
      </x:c>
      <x:c r="G251" s="146" t="str">
        <x:v>GRN</x:v>
      </x:c>
      <x:c r="H251" s="146" t="str">
        <x:v>M</x:v>
      </x:c>
      <x:c r="I251" s="147" t="n">
        <x:v>89</x:v>
      </x:c>
      <x:c r="J251" s="112" t="str">
        <x:v>International Warehouse</x:v>
      </x:c>
      <x:c r="K251" s="148" t="str"/>
      <x:c r="L251" s="148" t="str"/>
      <x:c r="M251" s="112" t="str">
        <x:v>Published</x:v>
      </x:c>
      <x:c r="N251" s="113" t="str">
        <x:v>https://www.klarelle.store/product/745c0502-a604-4606-ae64-eab216ac0c19</x:v>
      </x:c>
      <x:c r="O251" s="113" t="str">
        <x:v>Supplier-held inventory; no NJ bin unless transferred</x:v>
      </x:c>
      <x:c r="P251" s="112" t="str">
        <x:f>A251</x:f>
        <x:v>KLA-D053-GRN-M</x:v>
      </x:c>
      <x:c r="Q251" s="112" t="str">
        <x:f>IF(COUNTIF($A$9:$A$303,A251)&gt;1,"DUPLICATE","OK")</x:f>
        <x:v>OK</x:v>
      </x:c>
    </x:row>
    <x:row r="252" ht="24" customHeight="1">
      <x:c r="A252" s="144" t="str">
        <x:f>IF(B252&lt;&gt;"",B252,"KLA-"&amp;C252&amp;"-"&amp;G252&amp;"-"&amp;H252)</x:f>
        <x:v>KLA-D053-GRN-S</x:v>
      </x:c>
      <x:c r="B252" s="145" t="str"/>
      <x:c r="C252" s="146" t="str">
        <x:v>D053</x:v>
      </x:c>
      <x:c r="D252" s="112" t="str">
        <x:v>Amélisse Gown</x:v>
      </x:c>
      <x:c r="E252" s="112" t="str">
        <x:v>Dress</x:v>
      </x:c>
      <x:c r="F252" s="112" t="str">
        <x:v>Green</x:v>
      </x:c>
      <x:c r="G252" s="146" t="str">
        <x:v>GRN</x:v>
      </x:c>
      <x:c r="H252" s="146" t="str">
        <x:v>S</x:v>
      </x:c>
      <x:c r="I252" s="147" t="n">
        <x:v>89</x:v>
      </x:c>
      <x:c r="J252" s="112" t="str">
        <x:v>International Warehouse</x:v>
      </x:c>
      <x:c r="K252" s="148" t="str"/>
      <x:c r="L252" s="148" t="str"/>
      <x:c r="M252" s="112" t="str">
        <x:v>Published</x:v>
      </x:c>
      <x:c r="N252" s="113" t="str">
        <x:v>https://www.klarelle.store/product/745c0502-a604-4606-ae64-eab216ac0c19</x:v>
      </x:c>
      <x:c r="O252" s="113" t="str">
        <x:v>Supplier-held inventory; no NJ bin unless transferred</x:v>
      </x:c>
      <x:c r="P252" s="112" t="str">
        <x:f>A252</x:f>
        <x:v>KLA-D053-GRN-S</x:v>
      </x:c>
      <x:c r="Q252" s="112" t="str">
        <x:f>IF(COUNTIF($A$9:$A$303,A252)&gt;1,"DUPLICATE","OK")</x:f>
        <x:v>OK</x:v>
      </x:c>
    </x:row>
    <x:row r="253" ht="24" customHeight="1">
      <x:c r="A253" s="144" t="str">
        <x:f>IF(B253&lt;&gt;"",B253,"KLA-"&amp;C253&amp;"-"&amp;G253&amp;"-"&amp;H253)</x:f>
        <x:v>KLA-D053-GRN-XL</x:v>
      </x:c>
      <x:c r="B253" s="145" t="str"/>
      <x:c r="C253" s="146" t="str">
        <x:v>D053</x:v>
      </x:c>
      <x:c r="D253" s="112" t="str">
        <x:v>Amélisse Gown</x:v>
      </x:c>
      <x:c r="E253" s="112" t="str">
        <x:v>Dress</x:v>
      </x:c>
      <x:c r="F253" s="112" t="str">
        <x:v>Green</x:v>
      </x:c>
      <x:c r="G253" s="146" t="str">
        <x:v>GRN</x:v>
      </x:c>
      <x:c r="H253" s="146" t="str">
        <x:v>XL</x:v>
      </x:c>
      <x:c r="I253" s="147" t="n">
        <x:v>89</x:v>
      </x:c>
      <x:c r="J253" s="112" t="str">
        <x:v>International Warehouse</x:v>
      </x:c>
      <x:c r="K253" s="148" t="str"/>
      <x:c r="L253" s="148" t="str"/>
      <x:c r="M253" s="112" t="str">
        <x:v>Published</x:v>
      </x:c>
      <x:c r="N253" s="113" t="str">
        <x:v>https://www.klarelle.store/product/745c0502-a604-4606-ae64-eab216ac0c19</x:v>
      </x:c>
      <x:c r="O253" s="113" t="str">
        <x:v>Supplier-held inventory; no NJ bin unless transferred</x:v>
      </x:c>
      <x:c r="P253" s="112" t="str">
        <x:f>A253</x:f>
        <x:v>KLA-D053-GRN-XL</x:v>
      </x:c>
      <x:c r="Q253" s="112" t="str">
        <x:f>IF(COUNTIF($A$9:$A$303,A253)&gt;1,"DUPLICATE","OK")</x:f>
        <x:v>OK</x:v>
      </x:c>
    </x:row>
    <x:row r="254" ht="24" customHeight="1">
      <x:c r="A254" s="144" t="str">
        <x:f>IF(B254&lt;&gt;"",B254,"KLA-"&amp;C254&amp;"-"&amp;G254&amp;"-"&amp;H254)</x:f>
        <x:v>KLA-D054-BWT-L</x:v>
      </x:c>
      <x:c r="B254" s="145" t="str"/>
      <x:c r="C254" s="146" t="str">
        <x:v>D054</x:v>
      </x:c>
      <x:c r="D254" s="112" t="str">
        <x:v>Solenne Gown</x:v>
      </x:c>
      <x:c r="E254" s="112" t="str">
        <x:v>Dress</x:v>
      </x:c>
      <x:c r="F254" s="112" t="str">
        <x:v>Black And White</x:v>
      </x:c>
      <x:c r="G254" s="146" t="str">
        <x:v>BWT</x:v>
      </x:c>
      <x:c r="H254" s="146" t="str">
        <x:v>L</x:v>
      </x:c>
      <x:c r="I254" s="147" t="n">
        <x:v>89</x:v>
      </x:c>
      <x:c r="J254" s="112" t="str">
        <x:v>International Warehouse</x:v>
      </x:c>
      <x:c r="K254" s="148" t="str"/>
      <x:c r="L254" s="148" t="str"/>
      <x:c r="M254" s="112" t="str">
        <x:v>Published</x:v>
      </x:c>
      <x:c r="N254" s="113" t="str">
        <x:v>https://www.klarelle.store/product/b357592a-3963-465c-b3ba-2792e0edf69f</x:v>
      </x:c>
      <x:c r="O254" s="113" t="str">
        <x:v>Supplier-held inventory; no NJ bin unless transferred</x:v>
      </x:c>
      <x:c r="P254" s="112" t="str">
        <x:f>A254</x:f>
        <x:v>KLA-D054-BWT-L</x:v>
      </x:c>
      <x:c r="Q254" s="112" t="str">
        <x:f>IF(COUNTIF($A$9:$A$303,A254)&gt;1,"DUPLICATE","OK")</x:f>
        <x:v>OK</x:v>
      </x:c>
    </x:row>
    <x:row r="255" ht="24" customHeight="1">
      <x:c r="A255" s="144" t="str">
        <x:f>IF(B255&lt;&gt;"",B255,"KLA-"&amp;C255&amp;"-"&amp;G255&amp;"-"&amp;H255)</x:f>
        <x:v>KLA-D054-BWT-M</x:v>
      </x:c>
      <x:c r="B255" s="145" t="str"/>
      <x:c r="C255" s="146" t="str">
        <x:v>D054</x:v>
      </x:c>
      <x:c r="D255" s="112" t="str">
        <x:v>Solenne Gown</x:v>
      </x:c>
      <x:c r="E255" s="112" t="str">
        <x:v>Dress</x:v>
      </x:c>
      <x:c r="F255" s="112" t="str">
        <x:v>Black And White</x:v>
      </x:c>
      <x:c r="G255" s="146" t="str">
        <x:v>BWT</x:v>
      </x:c>
      <x:c r="H255" s="146" t="str">
        <x:v>M</x:v>
      </x:c>
      <x:c r="I255" s="147" t="n">
        <x:v>89</x:v>
      </x:c>
      <x:c r="J255" s="112" t="str">
        <x:v>International Warehouse</x:v>
      </x:c>
      <x:c r="K255" s="148" t="str"/>
      <x:c r="L255" s="148" t="str"/>
      <x:c r="M255" s="112" t="str">
        <x:v>Published</x:v>
      </x:c>
      <x:c r="N255" s="113" t="str">
        <x:v>https://www.klarelle.store/product/b357592a-3963-465c-b3ba-2792e0edf69f</x:v>
      </x:c>
      <x:c r="O255" s="113" t="str">
        <x:v>Supplier-held inventory; no NJ bin unless transferred</x:v>
      </x:c>
      <x:c r="P255" s="112" t="str">
        <x:f>A255</x:f>
        <x:v>KLA-D054-BWT-M</x:v>
      </x:c>
      <x:c r="Q255" s="112" t="str">
        <x:f>IF(COUNTIF($A$9:$A$303,A255)&gt;1,"DUPLICATE","OK")</x:f>
        <x:v>OK</x:v>
      </x:c>
    </x:row>
    <x:row r="256" ht="24" customHeight="1">
      <x:c r="A256" s="144" t="str">
        <x:f>IF(B256&lt;&gt;"",B256,"KLA-"&amp;C256&amp;"-"&amp;G256&amp;"-"&amp;H256)</x:f>
        <x:v>KLA-D054-BWT-S</x:v>
      </x:c>
      <x:c r="B256" s="145" t="str"/>
      <x:c r="C256" s="146" t="str">
        <x:v>D054</x:v>
      </x:c>
      <x:c r="D256" s="112" t="str">
        <x:v>Solenne Gown</x:v>
      </x:c>
      <x:c r="E256" s="112" t="str">
        <x:v>Dress</x:v>
      </x:c>
      <x:c r="F256" s="112" t="str">
        <x:v>Black And White</x:v>
      </x:c>
      <x:c r="G256" s="146" t="str">
        <x:v>BWT</x:v>
      </x:c>
      <x:c r="H256" s="146" t="str">
        <x:v>S</x:v>
      </x:c>
      <x:c r="I256" s="147" t="n">
        <x:v>89</x:v>
      </x:c>
      <x:c r="J256" s="112" t="str">
        <x:v>International Warehouse</x:v>
      </x:c>
      <x:c r="K256" s="148" t="str"/>
      <x:c r="L256" s="148" t="str"/>
      <x:c r="M256" s="112" t="str">
        <x:v>Published</x:v>
      </x:c>
      <x:c r="N256" s="113" t="str">
        <x:v>https://www.klarelle.store/product/b357592a-3963-465c-b3ba-2792e0edf69f</x:v>
      </x:c>
      <x:c r="O256" s="113" t="str">
        <x:v>Supplier-held inventory; no NJ bin unless transferred</x:v>
      </x:c>
      <x:c r="P256" s="112" t="str">
        <x:f>A256</x:f>
        <x:v>KLA-D054-BWT-S</x:v>
      </x:c>
      <x:c r="Q256" s="112" t="str">
        <x:f>IF(COUNTIF($A$9:$A$303,A256)&gt;1,"DUPLICATE","OK")</x:f>
        <x:v>OK</x:v>
      </x:c>
    </x:row>
    <x:row r="257" ht="24" customHeight="1">
      <x:c r="A257" s="144" t="str">
        <x:f>IF(B257&lt;&gt;"",B257,"KLA-"&amp;C257&amp;"-"&amp;G257&amp;"-"&amp;H257)</x:f>
        <x:v>KLA-D054-BWT-XL</x:v>
      </x:c>
      <x:c r="B257" s="145" t="str"/>
      <x:c r="C257" s="146" t="str">
        <x:v>D054</x:v>
      </x:c>
      <x:c r="D257" s="112" t="str">
        <x:v>Solenne Gown</x:v>
      </x:c>
      <x:c r="E257" s="112" t="str">
        <x:v>Dress</x:v>
      </x:c>
      <x:c r="F257" s="112" t="str">
        <x:v>Black And White</x:v>
      </x:c>
      <x:c r="G257" s="146" t="str">
        <x:v>BWT</x:v>
      </x:c>
      <x:c r="H257" s="146" t="str">
        <x:v>XL</x:v>
      </x:c>
      <x:c r="I257" s="147" t="n">
        <x:v>89</x:v>
      </x:c>
      <x:c r="J257" s="112" t="str">
        <x:v>International Warehouse</x:v>
      </x:c>
      <x:c r="K257" s="148" t="str"/>
      <x:c r="L257" s="148" t="str"/>
      <x:c r="M257" s="112" t="str">
        <x:v>Published</x:v>
      </x:c>
      <x:c r="N257" s="113" t="str">
        <x:v>https://www.klarelle.store/product/b357592a-3963-465c-b3ba-2792e0edf69f</x:v>
      </x:c>
      <x:c r="O257" s="113" t="str">
        <x:v>Supplier-held inventory; no NJ bin unless transferred</x:v>
      </x:c>
      <x:c r="P257" s="112" t="str">
        <x:f>A257</x:f>
        <x:v>KLA-D054-BWT-XL</x:v>
      </x:c>
      <x:c r="Q257" s="112" t="str">
        <x:f>IF(COUNTIF($A$9:$A$303,A257)&gt;1,"DUPLICATE","OK")</x:f>
        <x:v>OK</x:v>
      </x:c>
    </x:row>
    <x:row r="258" ht="24" customHeight="1">
      <x:c r="A258" s="144" t="str">
        <x:f>IF(B258&lt;&gt;"",B258,"KLA-"&amp;C258&amp;"-"&amp;G258&amp;"-"&amp;H258)</x:f>
        <x:v>KLA-D055-BLK-L</x:v>
      </x:c>
      <x:c r="B258" s="145" t="str"/>
      <x:c r="C258" s="146" t="str">
        <x:v>D055</x:v>
      </x:c>
      <x:c r="D258" s="112" t="str">
        <x:v>Aurelia Noir Gown</x:v>
      </x:c>
      <x:c r="E258" s="112" t="str">
        <x:v>Dress</x:v>
      </x:c>
      <x:c r="F258" s="112" t="str">
        <x:v>Black</x:v>
      </x:c>
      <x:c r="G258" s="146" t="str">
        <x:v>BLK</x:v>
      </x:c>
      <x:c r="H258" s="146" t="str">
        <x:v>L</x:v>
      </x:c>
      <x:c r="I258" s="147" t="n">
        <x:v>95</x:v>
      </x:c>
      <x:c r="J258" s="112" t="str">
        <x:v>International Warehouse</x:v>
      </x:c>
      <x:c r="K258" s="148" t="str"/>
      <x:c r="L258" s="148" t="str"/>
      <x:c r="M258" s="112" t="str">
        <x:v>Published</x:v>
      </x:c>
      <x:c r="N258" s="113" t="str">
        <x:v>https://www.klarelle.store/product/5dc94de9-089b-42a9-9280-9f583baea302</x:v>
      </x:c>
      <x:c r="O258" s="113" t="str">
        <x:v>Supplier-held inventory; no NJ bin unless transferred</x:v>
      </x:c>
      <x:c r="P258" s="112" t="str">
        <x:f>A258</x:f>
        <x:v>KLA-D055-BLK-L</x:v>
      </x:c>
      <x:c r="Q258" s="112" t="str">
        <x:f>IF(COUNTIF($A$9:$A$303,A258)&gt;1,"DUPLICATE","OK")</x:f>
        <x:v>OK</x:v>
      </x:c>
    </x:row>
    <x:row r="259" ht="24" customHeight="1">
      <x:c r="A259" s="144" t="str">
        <x:f>IF(B259&lt;&gt;"",B259,"KLA-"&amp;C259&amp;"-"&amp;G259&amp;"-"&amp;H259)</x:f>
        <x:v>KLA-D055-BLK-M</x:v>
      </x:c>
      <x:c r="B259" s="145" t="str"/>
      <x:c r="C259" s="146" t="str">
        <x:v>D055</x:v>
      </x:c>
      <x:c r="D259" s="112" t="str">
        <x:v>Aurelia Noir Gown</x:v>
      </x:c>
      <x:c r="E259" s="112" t="str">
        <x:v>Dress</x:v>
      </x:c>
      <x:c r="F259" s="112" t="str">
        <x:v>Black</x:v>
      </x:c>
      <x:c r="G259" s="146" t="str">
        <x:v>BLK</x:v>
      </x:c>
      <x:c r="H259" s="146" t="str">
        <x:v>M</x:v>
      </x:c>
      <x:c r="I259" s="147" t="n">
        <x:v>95</x:v>
      </x:c>
      <x:c r="J259" s="112" t="str">
        <x:v>International Warehouse</x:v>
      </x:c>
      <x:c r="K259" s="148" t="str"/>
      <x:c r="L259" s="148" t="str"/>
      <x:c r="M259" s="112" t="str">
        <x:v>Published</x:v>
      </x:c>
      <x:c r="N259" s="113" t="str">
        <x:v>https://www.klarelle.store/product/5dc94de9-089b-42a9-9280-9f583baea302</x:v>
      </x:c>
      <x:c r="O259" s="113" t="str">
        <x:v>Supplier-held inventory; no NJ bin unless transferred</x:v>
      </x:c>
      <x:c r="P259" s="112" t="str">
        <x:f>A259</x:f>
        <x:v>KLA-D055-BLK-M</x:v>
      </x:c>
      <x:c r="Q259" s="112" t="str">
        <x:f>IF(COUNTIF($A$9:$A$303,A259)&gt;1,"DUPLICATE","OK")</x:f>
        <x:v>OK</x:v>
      </x:c>
    </x:row>
    <x:row r="260" ht="24" customHeight="1">
      <x:c r="A260" s="144" t="str">
        <x:f>IF(B260&lt;&gt;"",B260,"KLA-"&amp;C260&amp;"-"&amp;G260&amp;"-"&amp;H260)</x:f>
        <x:v>KLA-D055-BLK-S</x:v>
      </x:c>
      <x:c r="B260" s="145" t="str"/>
      <x:c r="C260" s="146" t="str">
        <x:v>D055</x:v>
      </x:c>
      <x:c r="D260" s="112" t="str">
        <x:v>Aurelia Noir Gown</x:v>
      </x:c>
      <x:c r="E260" s="112" t="str">
        <x:v>Dress</x:v>
      </x:c>
      <x:c r="F260" s="112" t="str">
        <x:v>Black</x:v>
      </x:c>
      <x:c r="G260" s="146" t="str">
        <x:v>BLK</x:v>
      </x:c>
      <x:c r="H260" s="146" t="str">
        <x:v>S</x:v>
      </x:c>
      <x:c r="I260" s="147" t="n">
        <x:v>95</x:v>
      </x:c>
      <x:c r="J260" s="112" t="str">
        <x:v>International Warehouse</x:v>
      </x:c>
      <x:c r="K260" s="148" t="str"/>
      <x:c r="L260" s="148" t="str"/>
      <x:c r="M260" s="112" t="str">
        <x:v>Published</x:v>
      </x:c>
      <x:c r="N260" s="113" t="str">
        <x:v>https://www.klarelle.store/product/5dc94de9-089b-42a9-9280-9f583baea302</x:v>
      </x:c>
      <x:c r="O260" s="113" t="str">
        <x:v>Supplier-held inventory; no NJ bin unless transferred</x:v>
      </x:c>
      <x:c r="P260" s="112" t="str">
        <x:f>A260</x:f>
        <x:v>KLA-D055-BLK-S</x:v>
      </x:c>
      <x:c r="Q260" s="112" t="str">
        <x:f>IF(COUNTIF($A$9:$A$303,A260)&gt;1,"DUPLICATE","OK")</x:f>
        <x:v>OK</x:v>
      </x:c>
    </x:row>
    <x:row r="261" ht="24" customHeight="1">
      <x:c r="A261" s="144" t="str">
        <x:f>IF(B261&lt;&gt;"",B261,"KLA-"&amp;C261&amp;"-"&amp;G261&amp;"-"&amp;H261)</x:f>
        <x:v>KLA-D055-BLK-XL</x:v>
      </x:c>
      <x:c r="B261" s="145" t="str"/>
      <x:c r="C261" s="146" t="str">
        <x:v>D055</x:v>
      </x:c>
      <x:c r="D261" s="112" t="str">
        <x:v>Aurelia Noir Gown</x:v>
      </x:c>
      <x:c r="E261" s="112" t="str">
        <x:v>Dress</x:v>
      </x:c>
      <x:c r="F261" s="112" t="str">
        <x:v>Black</x:v>
      </x:c>
      <x:c r="G261" s="146" t="str">
        <x:v>BLK</x:v>
      </x:c>
      <x:c r="H261" s="146" t="str">
        <x:v>XL</x:v>
      </x:c>
      <x:c r="I261" s="147" t="n">
        <x:v>95</x:v>
      </x:c>
      <x:c r="J261" s="112" t="str">
        <x:v>International Warehouse</x:v>
      </x:c>
      <x:c r="K261" s="148" t="str"/>
      <x:c r="L261" s="148" t="str"/>
      <x:c r="M261" s="112" t="str">
        <x:v>Published</x:v>
      </x:c>
      <x:c r="N261" s="113" t="str">
        <x:v>https://www.klarelle.store/product/5dc94de9-089b-42a9-9280-9f583baea302</x:v>
      </x:c>
      <x:c r="O261" s="113" t="str">
        <x:v>Supplier-held inventory; no NJ bin unless transferred</x:v>
      </x:c>
      <x:c r="P261" s="112" t="str">
        <x:f>A261</x:f>
        <x:v>KLA-D055-BLK-XL</x:v>
      </x:c>
      <x:c r="Q261" s="112" t="str">
        <x:f>IF(COUNTIF($A$9:$A$303,A261)&gt;1,"DUPLICATE","OK")</x:f>
        <x:v>OK</x:v>
      </x:c>
    </x:row>
    <x:row r="262" ht="24" customHeight="1">
      <x:c r="A262" s="144" t="str">
        <x:f>IF(B262&lt;&gt;"",B262,"KLA-"&amp;C262&amp;"-"&amp;G262&amp;"-"&amp;H262)</x:f>
        <x:v>KLA-D056-ASH-L</x:v>
      </x:c>
      <x:c r="B262" s="145" t="str"/>
      <x:c r="C262" s="146" t="str">
        <x:v>D056</x:v>
      </x:c>
      <x:c r="D262" s="112" t="str">
        <x:v>Avrielle Gown</x:v>
      </x:c>
      <x:c r="E262" s="112" t="str">
        <x:v>Dress</x:v>
      </x:c>
      <x:c r="F262" s="112" t="str">
        <x:v>Ash</x:v>
      </x:c>
      <x:c r="G262" s="146" t="str">
        <x:v>ASH</x:v>
      </x:c>
      <x:c r="H262" s="146" t="str">
        <x:v>L</x:v>
      </x:c>
      <x:c r="I262" s="147" t="n">
        <x:v>239</x:v>
      </x:c>
      <x:c r="J262" s="112" t="str">
        <x:v>International Warehouse</x:v>
      </x:c>
      <x:c r="K262" s="148" t="str"/>
      <x:c r="L262" s="148" t="str"/>
      <x:c r="M262" s="112" t="str">
        <x:v>Published</x:v>
      </x:c>
      <x:c r="N262" s="113" t="str">
        <x:v>https://www.klarelle.store/product/f3e127c5-12a3-4b74-9a1c-0775e7b8723f</x:v>
      </x:c>
      <x:c r="O262" s="113" t="str">
        <x:v>Supplier-held inventory; no NJ bin unless transferred</x:v>
      </x:c>
      <x:c r="P262" s="112" t="str">
        <x:f>A262</x:f>
        <x:v>KLA-D056-ASH-L</x:v>
      </x:c>
      <x:c r="Q262" s="112" t="str">
        <x:f>IF(COUNTIF($A$9:$A$303,A262)&gt;1,"DUPLICATE","OK")</x:f>
        <x:v>OK</x:v>
      </x:c>
    </x:row>
    <x:row r="263" ht="24" customHeight="1">
      <x:c r="A263" s="144" t="str">
        <x:f>IF(B263&lt;&gt;"",B263,"KLA-"&amp;C263&amp;"-"&amp;G263&amp;"-"&amp;H263)</x:f>
        <x:v>KLA-D056-ASH-M</x:v>
      </x:c>
      <x:c r="B263" s="145" t="str"/>
      <x:c r="C263" s="146" t="str">
        <x:v>D056</x:v>
      </x:c>
      <x:c r="D263" s="112" t="str">
        <x:v>Avrielle Gown</x:v>
      </x:c>
      <x:c r="E263" s="112" t="str">
        <x:v>Dress</x:v>
      </x:c>
      <x:c r="F263" s="112" t="str">
        <x:v>Ash</x:v>
      </x:c>
      <x:c r="G263" s="146" t="str">
        <x:v>ASH</x:v>
      </x:c>
      <x:c r="H263" s="146" t="str">
        <x:v>M</x:v>
      </x:c>
      <x:c r="I263" s="147" t="n">
        <x:v>239</x:v>
      </x:c>
      <x:c r="J263" s="112" t="str">
        <x:v>International Warehouse</x:v>
      </x:c>
      <x:c r="K263" s="148" t="str"/>
      <x:c r="L263" s="148" t="str"/>
      <x:c r="M263" s="112" t="str">
        <x:v>Published</x:v>
      </x:c>
      <x:c r="N263" s="113" t="str">
        <x:v>https://www.klarelle.store/product/f3e127c5-12a3-4b74-9a1c-0775e7b8723f</x:v>
      </x:c>
      <x:c r="O263" s="113" t="str">
        <x:v>Supplier-held inventory; no NJ bin unless transferred</x:v>
      </x:c>
      <x:c r="P263" s="112" t="str">
        <x:f>A263</x:f>
        <x:v>KLA-D056-ASH-M</x:v>
      </x:c>
      <x:c r="Q263" s="112" t="str">
        <x:f>IF(COUNTIF($A$9:$A$303,A263)&gt;1,"DUPLICATE","OK")</x:f>
        <x:v>OK</x:v>
      </x:c>
    </x:row>
    <x:row r="264" ht="24" customHeight="1">
      <x:c r="A264" s="144" t="str">
        <x:f>IF(B264&lt;&gt;"",B264,"KLA-"&amp;C264&amp;"-"&amp;G264&amp;"-"&amp;H264)</x:f>
        <x:v>KLA-D056-ASH-S</x:v>
      </x:c>
      <x:c r="B264" s="145" t="str"/>
      <x:c r="C264" s="146" t="str">
        <x:v>D056</x:v>
      </x:c>
      <x:c r="D264" s="112" t="str">
        <x:v>Avrielle Gown</x:v>
      </x:c>
      <x:c r="E264" s="112" t="str">
        <x:v>Dress</x:v>
      </x:c>
      <x:c r="F264" s="112" t="str">
        <x:v>Ash</x:v>
      </x:c>
      <x:c r="G264" s="146" t="str">
        <x:v>ASH</x:v>
      </x:c>
      <x:c r="H264" s="146" t="str">
        <x:v>S</x:v>
      </x:c>
      <x:c r="I264" s="147" t="n">
        <x:v>239</x:v>
      </x:c>
      <x:c r="J264" s="112" t="str">
        <x:v>International Warehouse</x:v>
      </x:c>
      <x:c r="K264" s="148" t="str"/>
      <x:c r="L264" s="148" t="str"/>
      <x:c r="M264" s="112" t="str">
        <x:v>Published</x:v>
      </x:c>
      <x:c r="N264" s="113" t="str">
        <x:v>https://www.klarelle.store/product/f3e127c5-12a3-4b74-9a1c-0775e7b8723f</x:v>
      </x:c>
      <x:c r="O264" s="113" t="str">
        <x:v>Supplier-held inventory; no NJ bin unless transferred</x:v>
      </x:c>
      <x:c r="P264" s="112" t="str">
        <x:f>A264</x:f>
        <x:v>KLA-D056-ASH-S</x:v>
      </x:c>
      <x:c r="Q264" s="112" t="str">
        <x:f>IF(COUNTIF($A$9:$A$303,A264)&gt;1,"DUPLICATE","OK")</x:f>
        <x:v>OK</x:v>
      </x:c>
    </x:row>
    <x:row r="265" ht="24" customHeight="1">
      <x:c r="A265" s="144" t="str">
        <x:f>IF(B265&lt;&gt;"",B265,"KLA-"&amp;C265&amp;"-"&amp;G265&amp;"-"&amp;H265)</x:f>
        <x:v>KLA-D056-ASH-XL</x:v>
      </x:c>
      <x:c r="B265" s="145" t="str"/>
      <x:c r="C265" s="146" t="str">
        <x:v>D056</x:v>
      </x:c>
      <x:c r="D265" s="112" t="str">
        <x:v>Avrielle Gown</x:v>
      </x:c>
      <x:c r="E265" s="112" t="str">
        <x:v>Dress</x:v>
      </x:c>
      <x:c r="F265" s="112" t="str">
        <x:v>Ash</x:v>
      </x:c>
      <x:c r="G265" s="146" t="str">
        <x:v>ASH</x:v>
      </x:c>
      <x:c r="H265" s="146" t="str">
        <x:v>XL</x:v>
      </x:c>
      <x:c r="I265" s="147" t="n">
        <x:v>239</x:v>
      </x:c>
      <x:c r="J265" s="112" t="str">
        <x:v>International Warehouse</x:v>
      </x:c>
      <x:c r="K265" s="148" t="str"/>
      <x:c r="L265" s="148" t="str"/>
      <x:c r="M265" s="112" t="str">
        <x:v>Published</x:v>
      </x:c>
      <x:c r="N265" s="113" t="str">
        <x:v>https://www.klarelle.store/product/f3e127c5-12a3-4b74-9a1c-0775e7b8723f</x:v>
      </x:c>
      <x:c r="O265" s="113" t="str">
        <x:v>Supplier-held inventory; no NJ bin unless transferred</x:v>
      </x:c>
      <x:c r="P265" s="112" t="str">
        <x:f>A265</x:f>
        <x:v>KLA-D056-ASH-XL</x:v>
      </x:c>
      <x:c r="Q265" s="112" t="str">
        <x:f>IF(COUNTIF($A$9:$A$303,A265)&gt;1,"DUPLICATE","OK")</x:f>
        <x:v>OK</x:v>
      </x:c>
    </x:row>
    <x:row r="266" ht="24" customHeight="1">
      <x:c r="A266" s="144" t="str">
        <x:f>IF(B266&lt;&gt;"",B266,"KLA-"&amp;C266&amp;"-"&amp;G266&amp;"-"&amp;H266)</x:f>
        <x:v>KLA-D056-PNK-L</x:v>
      </x:c>
      <x:c r="B266" s="145" t="str"/>
      <x:c r="C266" s="146" t="str">
        <x:v>D056</x:v>
      </x:c>
      <x:c r="D266" s="112" t="str">
        <x:v>Avrielle Gown</x:v>
      </x:c>
      <x:c r="E266" s="112" t="str">
        <x:v>Dress</x:v>
      </x:c>
      <x:c r="F266" s="112" t="str">
        <x:v>Pink</x:v>
      </x:c>
      <x:c r="G266" s="146" t="str">
        <x:v>PNK</x:v>
      </x:c>
      <x:c r="H266" s="146" t="str">
        <x:v>L</x:v>
      </x:c>
      <x:c r="I266" s="147" t="n">
        <x:v>239</x:v>
      </x:c>
      <x:c r="J266" s="112" t="str">
        <x:v>International Warehouse</x:v>
      </x:c>
      <x:c r="K266" s="148" t="str"/>
      <x:c r="L266" s="148" t="str"/>
      <x:c r="M266" s="112" t="str">
        <x:v>Published</x:v>
      </x:c>
      <x:c r="N266" s="113" t="str">
        <x:v>https://www.klarelle.store/product/f3e127c5-12a3-4b74-9a1c-0775e7b8723f</x:v>
      </x:c>
      <x:c r="O266" s="113" t="str">
        <x:v>Supplier-held inventory; no NJ bin unless transferred</x:v>
      </x:c>
      <x:c r="P266" s="112" t="str">
        <x:f>A266</x:f>
        <x:v>KLA-D056-PNK-L</x:v>
      </x:c>
      <x:c r="Q266" s="112" t="str">
        <x:f>IF(COUNTIF($A$9:$A$303,A266)&gt;1,"DUPLICATE","OK")</x:f>
        <x:v>OK</x:v>
      </x:c>
    </x:row>
    <x:row r="267" ht="24" customHeight="1">
      <x:c r="A267" s="144" t="str">
        <x:f>IF(B267&lt;&gt;"",B267,"KLA-"&amp;C267&amp;"-"&amp;G267&amp;"-"&amp;H267)</x:f>
        <x:v>KLA-D056-PNK-M</x:v>
      </x:c>
      <x:c r="B267" s="145" t="str"/>
      <x:c r="C267" s="146" t="str">
        <x:v>D056</x:v>
      </x:c>
      <x:c r="D267" s="112" t="str">
        <x:v>Avrielle Gown</x:v>
      </x:c>
      <x:c r="E267" s="112" t="str">
        <x:v>Dress</x:v>
      </x:c>
      <x:c r="F267" s="112" t="str">
        <x:v>Pink</x:v>
      </x:c>
      <x:c r="G267" s="146" t="str">
        <x:v>PNK</x:v>
      </x:c>
      <x:c r="H267" s="146" t="str">
        <x:v>M</x:v>
      </x:c>
      <x:c r="I267" s="147" t="n">
        <x:v>239</x:v>
      </x:c>
      <x:c r="J267" s="112" t="str">
        <x:v>International Warehouse</x:v>
      </x:c>
      <x:c r="K267" s="148" t="str"/>
      <x:c r="L267" s="148" t="str"/>
      <x:c r="M267" s="112" t="str">
        <x:v>Published</x:v>
      </x:c>
      <x:c r="N267" s="113" t="str">
        <x:v>https://www.klarelle.store/product/f3e127c5-12a3-4b74-9a1c-0775e7b8723f</x:v>
      </x:c>
      <x:c r="O267" s="113" t="str">
        <x:v>Supplier-held inventory; no NJ bin unless transferred</x:v>
      </x:c>
      <x:c r="P267" s="112" t="str">
        <x:f>A267</x:f>
        <x:v>KLA-D056-PNK-M</x:v>
      </x:c>
      <x:c r="Q267" s="112" t="str">
        <x:f>IF(COUNTIF($A$9:$A$303,A267)&gt;1,"DUPLICATE","OK")</x:f>
        <x:v>OK</x:v>
      </x:c>
    </x:row>
    <x:row r="268" ht="24" customHeight="1">
      <x:c r="A268" s="144" t="str">
        <x:f>IF(B268&lt;&gt;"",B268,"KLA-"&amp;C268&amp;"-"&amp;G268&amp;"-"&amp;H268)</x:f>
        <x:v>KLA-D056-PNK-S</x:v>
      </x:c>
      <x:c r="B268" s="145" t="str"/>
      <x:c r="C268" s="146" t="str">
        <x:v>D056</x:v>
      </x:c>
      <x:c r="D268" s="112" t="str">
        <x:v>Avrielle Gown</x:v>
      </x:c>
      <x:c r="E268" s="112" t="str">
        <x:v>Dress</x:v>
      </x:c>
      <x:c r="F268" s="112" t="str">
        <x:v>Pink</x:v>
      </x:c>
      <x:c r="G268" s="146" t="str">
        <x:v>PNK</x:v>
      </x:c>
      <x:c r="H268" s="146" t="str">
        <x:v>S</x:v>
      </x:c>
      <x:c r="I268" s="147" t="n">
        <x:v>239</x:v>
      </x:c>
      <x:c r="J268" s="112" t="str">
        <x:v>International Warehouse</x:v>
      </x:c>
      <x:c r="K268" s="148" t="str"/>
      <x:c r="L268" s="148" t="str"/>
      <x:c r="M268" s="112" t="str">
        <x:v>Published</x:v>
      </x:c>
      <x:c r="N268" s="113" t="str">
        <x:v>https://www.klarelle.store/product/f3e127c5-12a3-4b74-9a1c-0775e7b8723f</x:v>
      </x:c>
      <x:c r="O268" s="113" t="str">
        <x:v>Supplier-held inventory; no NJ bin unless transferred</x:v>
      </x:c>
      <x:c r="P268" s="112" t="str">
        <x:f>A268</x:f>
        <x:v>KLA-D056-PNK-S</x:v>
      </x:c>
      <x:c r="Q268" s="112" t="str">
        <x:f>IF(COUNTIF($A$9:$A$303,A268)&gt;1,"DUPLICATE","OK")</x:f>
        <x:v>OK</x:v>
      </x:c>
    </x:row>
    <x:row r="269" ht="24" customHeight="1">
      <x:c r="A269" s="144" t="str">
        <x:f>IF(B269&lt;&gt;"",B269,"KLA-"&amp;C269&amp;"-"&amp;G269&amp;"-"&amp;H269)</x:f>
        <x:v>KLA-D056-PNK-XL</x:v>
      </x:c>
      <x:c r="B269" s="145" t="str"/>
      <x:c r="C269" s="146" t="str">
        <x:v>D056</x:v>
      </x:c>
      <x:c r="D269" s="112" t="str">
        <x:v>Avrielle Gown</x:v>
      </x:c>
      <x:c r="E269" s="112" t="str">
        <x:v>Dress</x:v>
      </x:c>
      <x:c r="F269" s="112" t="str">
        <x:v>Pink</x:v>
      </x:c>
      <x:c r="G269" s="146" t="str">
        <x:v>PNK</x:v>
      </x:c>
      <x:c r="H269" s="146" t="str">
        <x:v>XL</x:v>
      </x:c>
      <x:c r="I269" s="147" t="n">
        <x:v>239</x:v>
      </x:c>
      <x:c r="J269" s="112" t="str">
        <x:v>International Warehouse</x:v>
      </x:c>
      <x:c r="K269" s="148" t="str"/>
      <x:c r="L269" s="148" t="str"/>
      <x:c r="M269" s="112" t="str">
        <x:v>Published</x:v>
      </x:c>
      <x:c r="N269" s="113" t="str">
        <x:v>https://www.klarelle.store/product/f3e127c5-12a3-4b74-9a1c-0775e7b8723f</x:v>
      </x:c>
      <x:c r="O269" s="113" t="str">
        <x:v>Supplier-held inventory; no NJ bin unless transferred</x:v>
      </x:c>
      <x:c r="P269" s="112" t="str">
        <x:f>A269</x:f>
        <x:v>KLA-D056-PNK-XL</x:v>
      </x:c>
      <x:c r="Q269" s="112" t="str">
        <x:f>IF(COUNTIF($A$9:$A$303,A269)&gt;1,"DUPLICATE","OK")</x:f>
        <x:v>OK</x:v>
      </x:c>
    </x:row>
    <x:row r="270" ht="24" customHeight="1">
      <x:c r="A270" s="144" t="str">
        <x:f>IF(B270&lt;&gt;"",B270,"KLA-"&amp;C270&amp;"-"&amp;G270&amp;"-"&amp;H270)</x:f>
        <x:v>KLA-D057-BWO-L</x:v>
      </x:c>
      <x:c r="B270" s="145" t="str"/>
      <x:c r="C270" s="146" t="str">
        <x:v>D057</x:v>
      </x:c>
      <x:c r="D270" s="112" t="str">
        <x:v>Brielle Fringe Gown</x:v>
      </x:c>
      <x:c r="E270" s="112" t="str">
        <x:v>Dress</x:v>
      </x:c>
      <x:c r="F270" s="112" t="str">
        <x:v>Black And White Ombre</x:v>
      </x:c>
      <x:c r="G270" s="146" t="str">
        <x:v>BWO</x:v>
      </x:c>
      <x:c r="H270" s="146" t="str">
        <x:v>L</x:v>
      </x:c>
      <x:c r="I270" s="147" t="n">
        <x:v>179</x:v>
      </x:c>
      <x:c r="J270" s="112" t="str">
        <x:v>International Warehouse</x:v>
      </x:c>
      <x:c r="K270" s="148" t="str"/>
      <x:c r="L270" s="148" t="str"/>
      <x:c r="M270" s="112" t="str">
        <x:v>Published</x:v>
      </x:c>
      <x:c r="N270" s="113" t="str">
        <x:v>https://www.klarelle.store/product/a65c42b8-2f4a-40b8-a139-ad86689a25d7</x:v>
      </x:c>
      <x:c r="O270" s="113" t="str">
        <x:v>Supplier-held inventory; no NJ bin unless transferred</x:v>
      </x:c>
      <x:c r="P270" s="112" t="str">
        <x:f>A270</x:f>
        <x:v>KLA-D057-BWO-L</x:v>
      </x:c>
      <x:c r="Q270" s="112" t="str">
        <x:f>IF(COUNTIF($A$9:$A$303,A270)&gt;1,"DUPLICATE","OK")</x:f>
        <x:v>OK</x:v>
      </x:c>
    </x:row>
    <x:row r="271" ht="24" customHeight="1">
      <x:c r="A271" s="144" t="str">
        <x:f>IF(B271&lt;&gt;"",B271,"KLA-"&amp;C271&amp;"-"&amp;G271&amp;"-"&amp;H271)</x:f>
        <x:v>KLA-D057-BWO-M</x:v>
      </x:c>
      <x:c r="B271" s="145" t="str"/>
      <x:c r="C271" s="146" t="str">
        <x:v>D057</x:v>
      </x:c>
      <x:c r="D271" s="112" t="str">
        <x:v>Brielle Fringe Gown</x:v>
      </x:c>
      <x:c r="E271" s="112" t="str">
        <x:v>Dress</x:v>
      </x:c>
      <x:c r="F271" s="112" t="str">
        <x:v>Black And White Ombre</x:v>
      </x:c>
      <x:c r="G271" s="146" t="str">
        <x:v>BWO</x:v>
      </x:c>
      <x:c r="H271" s="146" t="str">
        <x:v>M</x:v>
      </x:c>
      <x:c r="I271" s="147" t="n">
        <x:v>179</x:v>
      </x:c>
      <x:c r="J271" s="112" t="str">
        <x:v>International Warehouse</x:v>
      </x:c>
      <x:c r="K271" s="148" t="str"/>
      <x:c r="L271" s="148" t="str"/>
      <x:c r="M271" s="112" t="str">
        <x:v>Published</x:v>
      </x:c>
      <x:c r="N271" s="113" t="str">
        <x:v>https://www.klarelle.store/product/a65c42b8-2f4a-40b8-a139-ad86689a25d7</x:v>
      </x:c>
      <x:c r="O271" s="113" t="str">
        <x:v>Supplier-held inventory; no NJ bin unless transferred</x:v>
      </x:c>
      <x:c r="P271" s="112" t="str">
        <x:f>A271</x:f>
        <x:v>KLA-D057-BWO-M</x:v>
      </x:c>
      <x:c r="Q271" s="112" t="str">
        <x:f>IF(COUNTIF($A$9:$A$303,A271)&gt;1,"DUPLICATE","OK")</x:f>
        <x:v>OK</x:v>
      </x:c>
    </x:row>
    <x:row r="272" ht="24" customHeight="1">
      <x:c r="A272" s="144" t="str">
        <x:f>IF(B272&lt;&gt;"",B272,"KLA-"&amp;C272&amp;"-"&amp;G272&amp;"-"&amp;H272)</x:f>
        <x:v>KLA-D057-BWO-S</x:v>
      </x:c>
      <x:c r="B272" s="145" t="str"/>
      <x:c r="C272" s="146" t="str">
        <x:v>D057</x:v>
      </x:c>
      <x:c r="D272" s="112" t="str">
        <x:v>Brielle Fringe Gown</x:v>
      </x:c>
      <x:c r="E272" s="112" t="str">
        <x:v>Dress</x:v>
      </x:c>
      <x:c r="F272" s="112" t="str">
        <x:v>Black And White Ombre</x:v>
      </x:c>
      <x:c r="G272" s="146" t="str">
        <x:v>BWO</x:v>
      </x:c>
      <x:c r="H272" s="146" t="str">
        <x:v>S</x:v>
      </x:c>
      <x:c r="I272" s="147" t="n">
        <x:v>179</x:v>
      </x:c>
      <x:c r="J272" s="112" t="str">
        <x:v>International Warehouse</x:v>
      </x:c>
      <x:c r="K272" s="148" t="str"/>
      <x:c r="L272" s="148" t="str"/>
      <x:c r="M272" s="112" t="str">
        <x:v>Published</x:v>
      </x:c>
      <x:c r="N272" s="113" t="str">
        <x:v>https://www.klarelle.store/product/a65c42b8-2f4a-40b8-a139-ad86689a25d7</x:v>
      </x:c>
      <x:c r="O272" s="113" t="str">
        <x:v>Supplier-held inventory; no NJ bin unless transferred</x:v>
      </x:c>
      <x:c r="P272" s="112" t="str">
        <x:f>A272</x:f>
        <x:v>KLA-D057-BWO-S</x:v>
      </x:c>
      <x:c r="Q272" s="112" t="str">
        <x:f>IF(COUNTIF($A$9:$A$303,A272)&gt;1,"DUPLICATE","OK")</x:f>
        <x:v>OK</x:v>
      </x:c>
    </x:row>
    <x:row r="273" ht="24" customHeight="1">
      <x:c r="A273" s="144" t="str">
        <x:f>IF(B273&lt;&gt;"",B273,"KLA-"&amp;C273&amp;"-"&amp;G273&amp;"-"&amp;H273)</x:f>
        <x:v>KLA-D057-BWO-XL</x:v>
      </x:c>
      <x:c r="B273" s="145" t="str"/>
      <x:c r="C273" s="146" t="str">
        <x:v>D057</x:v>
      </x:c>
      <x:c r="D273" s="112" t="str">
        <x:v>Brielle Fringe Gown</x:v>
      </x:c>
      <x:c r="E273" s="112" t="str">
        <x:v>Dress</x:v>
      </x:c>
      <x:c r="F273" s="112" t="str">
        <x:v>Black And White Ombre</x:v>
      </x:c>
      <x:c r="G273" s="146" t="str">
        <x:v>BWO</x:v>
      </x:c>
      <x:c r="H273" s="146" t="str">
        <x:v>XL</x:v>
      </x:c>
      <x:c r="I273" s="147" t="n">
        <x:v>179</x:v>
      </x:c>
      <x:c r="J273" s="112" t="str">
        <x:v>International Warehouse</x:v>
      </x:c>
      <x:c r="K273" s="148" t="str"/>
      <x:c r="L273" s="148" t="str"/>
      <x:c r="M273" s="112" t="str">
        <x:v>Published</x:v>
      </x:c>
      <x:c r="N273" s="113" t="str">
        <x:v>https://www.klarelle.store/product/a65c42b8-2f4a-40b8-a139-ad86689a25d7</x:v>
      </x:c>
      <x:c r="O273" s="113" t="str">
        <x:v>Supplier-held inventory; no NJ bin unless transferred</x:v>
      </x:c>
      <x:c r="P273" s="112" t="str">
        <x:f>A273</x:f>
        <x:v>KLA-D057-BWO-XL</x:v>
      </x:c>
      <x:c r="Q273" s="112" t="str">
        <x:f>IF(COUNTIF($A$9:$A$303,A273)&gt;1,"DUPLICATE","OK")</x:f>
        <x:v>OK</x:v>
      </x:c>
    </x:row>
    <x:row r="274" ht="24" customHeight="1">
      <x:c r="A274" s="144" t="str">
        <x:f>IF(B274&lt;&gt;"",B274,"KLA-"&amp;C274&amp;"-"&amp;G274&amp;"-"&amp;H274)</x:f>
        <x:v>KLA-D057-BLO-L</x:v>
      </x:c>
      <x:c r="B274" s="145" t="str"/>
      <x:c r="C274" s="146" t="str">
        <x:v>D057</x:v>
      </x:c>
      <x:c r="D274" s="112" t="str">
        <x:v>Brielle Fringe Gown</x:v>
      </x:c>
      <x:c r="E274" s="112" t="str">
        <x:v>Dress</x:v>
      </x:c>
      <x:c r="F274" s="112" t="str">
        <x:v>Blue Ombre</x:v>
      </x:c>
      <x:c r="G274" s="146" t="str">
        <x:v>BLO</x:v>
      </x:c>
      <x:c r="H274" s="146" t="str">
        <x:v>L</x:v>
      </x:c>
      <x:c r="I274" s="147" t="n">
        <x:v>179</x:v>
      </x:c>
      <x:c r="J274" s="112" t="str">
        <x:v>International Warehouse</x:v>
      </x:c>
      <x:c r="K274" s="148" t="str"/>
      <x:c r="L274" s="148" t="str"/>
      <x:c r="M274" s="112" t="str">
        <x:v>Published</x:v>
      </x:c>
      <x:c r="N274" s="113" t="str">
        <x:v>https://www.klarelle.store/product/a65c42b8-2f4a-40b8-a139-ad86689a25d7</x:v>
      </x:c>
      <x:c r="O274" s="113" t="str">
        <x:v>Supplier-held inventory; no NJ bin unless transferred</x:v>
      </x:c>
      <x:c r="P274" s="112" t="str">
        <x:f>A274</x:f>
        <x:v>KLA-D057-BLO-L</x:v>
      </x:c>
      <x:c r="Q274" s="112" t="str">
        <x:f>IF(COUNTIF($A$9:$A$303,A274)&gt;1,"DUPLICATE","OK")</x:f>
        <x:v>OK</x:v>
      </x:c>
    </x:row>
    <x:row r="275" ht="24" customHeight="1">
      <x:c r="A275" s="144" t="str">
        <x:f>IF(B275&lt;&gt;"",B275,"KLA-"&amp;C275&amp;"-"&amp;G275&amp;"-"&amp;H275)</x:f>
        <x:v>KLA-D057-BLO-M</x:v>
      </x:c>
      <x:c r="B275" s="145" t="str"/>
      <x:c r="C275" s="146" t="str">
        <x:v>D057</x:v>
      </x:c>
      <x:c r="D275" s="112" t="str">
        <x:v>Brielle Fringe Gown</x:v>
      </x:c>
      <x:c r="E275" s="112" t="str">
        <x:v>Dress</x:v>
      </x:c>
      <x:c r="F275" s="112" t="str">
        <x:v>Blue Ombre</x:v>
      </x:c>
      <x:c r="G275" s="146" t="str">
        <x:v>BLO</x:v>
      </x:c>
      <x:c r="H275" s="146" t="str">
        <x:v>M</x:v>
      </x:c>
      <x:c r="I275" s="147" t="n">
        <x:v>179</x:v>
      </x:c>
      <x:c r="J275" s="112" t="str">
        <x:v>International Warehouse</x:v>
      </x:c>
      <x:c r="K275" s="148" t="str"/>
      <x:c r="L275" s="148" t="str"/>
      <x:c r="M275" s="112" t="str">
        <x:v>Published</x:v>
      </x:c>
      <x:c r="N275" s="113" t="str">
        <x:v>https://www.klarelle.store/product/a65c42b8-2f4a-40b8-a139-ad86689a25d7</x:v>
      </x:c>
      <x:c r="O275" s="113" t="str">
        <x:v>Supplier-held inventory; no NJ bin unless transferred</x:v>
      </x:c>
      <x:c r="P275" s="112" t="str">
        <x:f>A275</x:f>
        <x:v>KLA-D057-BLO-M</x:v>
      </x:c>
      <x:c r="Q275" s="112" t="str">
        <x:f>IF(COUNTIF($A$9:$A$303,A275)&gt;1,"DUPLICATE","OK")</x:f>
        <x:v>OK</x:v>
      </x:c>
    </x:row>
    <x:row r="276" ht="24" customHeight="1">
      <x:c r="A276" s="144" t="str">
        <x:f>IF(B276&lt;&gt;"",B276,"KLA-"&amp;C276&amp;"-"&amp;G276&amp;"-"&amp;H276)</x:f>
        <x:v>KLA-D057-BLO-S</x:v>
      </x:c>
      <x:c r="B276" s="145" t="str"/>
      <x:c r="C276" s="146" t="str">
        <x:v>D057</x:v>
      </x:c>
      <x:c r="D276" s="112" t="str">
        <x:v>Brielle Fringe Gown</x:v>
      </x:c>
      <x:c r="E276" s="112" t="str">
        <x:v>Dress</x:v>
      </x:c>
      <x:c r="F276" s="112" t="str">
        <x:v>Blue Ombre</x:v>
      </x:c>
      <x:c r="G276" s="146" t="str">
        <x:v>BLO</x:v>
      </x:c>
      <x:c r="H276" s="146" t="str">
        <x:v>S</x:v>
      </x:c>
      <x:c r="I276" s="147" t="n">
        <x:v>179</x:v>
      </x:c>
      <x:c r="J276" s="112" t="str">
        <x:v>International Warehouse</x:v>
      </x:c>
      <x:c r="K276" s="148" t="str"/>
      <x:c r="L276" s="148" t="str"/>
      <x:c r="M276" s="112" t="str">
        <x:v>Published</x:v>
      </x:c>
      <x:c r="N276" s="113" t="str">
        <x:v>https://www.klarelle.store/product/a65c42b8-2f4a-40b8-a139-ad86689a25d7</x:v>
      </x:c>
      <x:c r="O276" s="113" t="str">
        <x:v>Supplier-held inventory; no NJ bin unless transferred</x:v>
      </x:c>
      <x:c r="P276" s="112" t="str">
        <x:f>A276</x:f>
        <x:v>KLA-D057-BLO-S</x:v>
      </x:c>
      <x:c r="Q276" s="112" t="str">
        <x:f>IF(COUNTIF($A$9:$A$303,A276)&gt;1,"DUPLICATE","OK")</x:f>
        <x:v>OK</x:v>
      </x:c>
    </x:row>
    <x:row r="277" ht="24" customHeight="1">
      <x:c r="A277" s="144" t="str">
        <x:f>IF(B277&lt;&gt;"",B277,"KLA-"&amp;C277&amp;"-"&amp;G277&amp;"-"&amp;H277)</x:f>
        <x:v>KLA-D057-BLO-XL</x:v>
      </x:c>
      <x:c r="B277" s="145" t="str"/>
      <x:c r="C277" s="146" t="str">
        <x:v>D057</x:v>
      </x:c>
      <x:c r="D277" s="112" t="str">
        <x:v>Brielle Fringe Gown</x:v>
      </x:c>
      <x:c r="E277" s="112" t="str">
        <x:v>Dress</x:v>
      </x:c>
      <x:c r="F277" s="112" t="str">
        <x:v>Blue Ombre</x:v>
      </x:c>
      <x:c r="G277" s="146" t="str">
        <x:v>BLO</x:v>
      </x:c>
      <x:c r="H277" s="146" t="str">
        <x:v>XL</x:v>
      </x:c>
      <x:c r="I277" s="147" t="n">
        <x:v>179</x:v>
      </x:c>
      <x:c r="J277" s="112" t="str">
        <x:v>International Warehouse</x:v>
      </x:c>
      <x:c r="K277" s="148" t="str"/>
      <x:c r="L277" s="148" t="str"/>
      <x:c r="M277" s="112" t="str">
        <x:v>Published</x:v>
      </x:c>
      <x:c r="N277" s="113" t="str">
        <x:v>https://www.klarelle.store/product/a65c42b8-2f4a-40b8-a139-ad86689a25d7</x:v>
      </x:c>
      <x:c r="O277" s="113" t="str">
        <x:v>Supplier-held inventory; no NJ bin unless transferred</x:v>
      </x:c>
      <x:c r="P277" s="112" t="str">
        <x:f>A277</x:f>
        <x:v>KLA-D057-BLO-XL</x:v>
      </x:c>
      <x:c r="Q277" s="112" t="str">
        <x:f>IF(COUNTIF($A$9:$A$303,A277)&gt;1,"DUPLICATE","OK")</x:f>
        <x:v>OK</x:v>
      </x:c>
    </x:row>
    <x:row r="278" ht="24" customHeight="1">
      <x:c r="A278" s="144" t="str">
        <x:f>IF(B278&lt;&gt;"",B278,"KLA-"&amp;C278&amp;"-"&amp;G278&amp;"-"&amp;H278)</x:f>
        <x:v>KLA-D057-GLD-L</x:v>
      </x:c>
      <x:c r="B278" s="145" t="str"/>
      <x:c r="C278" s="146" t="str">
        <x:v>D057</x:v>
      </x:c>
      <x:c r="D278" s="112" t="str">
        <x:v>Brielle Fringe Gown</x:v>
      </x:c>
      <x:c r="E278" s="112" t="str">
        <x:v>Dress</x:v>
      </x:c>
      <x:c r="F278" s="112" t="str">
        <x:v>Gold</x:v>
      </x:c>
      <x:c r="G278" s="146" t="str">
        <x:v>GLD</x:v>
      </x:c>
      <x:c r="H278" s="146" t="str">
        <x:v>L</x:v>
      </x:c>
      <x:c r="I278" s="147" t="n">
        <x:v>179</x:v>
      </x:c>
      <x:c r="J278" s="112" t="str">
        <x:v>International Warehouse</x:v>
      </x:c>
      <x:c r="K278" s="148" t="str"/>
      <x:c r="L278" s="148" t="str"/>
      <x:c r="M278" s="112" t="str">
        <x:v>Published</x:v>
      </x:c>
      <x:c r="N278" s="113" t="str">
        <x:v>https://www.klarelle.store/product/a65c42b8-2f4a-40b8-a139-ad86689a25d7</x:v>
      </x:c>
      <x:c r="O278" s="113" t="str">
        <x:v>Supplier-held inventory; no NJ bin unless transferred</x:v>
      </x:c>
      <x:c r="P278" s="112" t="str">
        <x:f>A278</x:f>
        <x:v>KLA-D057-GLD-L</x:v>
      </x:c>
      <x:c r="Q278" s="112" t="str">
        <x:f>IF(COUNTIF($A$9:$A$303,A278)&gt;1,"DUPLICATE","OK")</x:f>
        <x:v>OK</x:v>
      </x:c>
    </x:row>
    <x:row r="279" ht="24" customHeight="1">
      <x:c r="A279" s="144" t="str">
        <x:f>IF(B279&lt;&gt;"",B279,"KLA-"&amp;C279&amp;"-"&amp;G279&amp;"-"&amp;H279)</x:f>
        <x:v>KLA-D057-GLD-M</x:v>
      </x:c>
      <x:c r="B279" s="145" t="str"/>
      <x:c r="C279" s="146" t="str">
        <x:v>D057</x:v>
      </x:c>
      <x:c r="D279" s="112" t="str">
        <x:v>Brielle Fringe Gown</x:v>
      </x:c>
      <x:c r="E279" s="112" t="str">
        <x:v>Dress</x:v>
      </x:c>
      <x:c r="F279" s="112" t="str">
        <x:v>Gold</x:v>
      </x:c>
      <x:c r="G279" s="146" t="str">
        <x:v>GLD</x:v>
      </x:c>
      <x:c r="H279" s="146" t="str">
        <x:v>M</x:v>
      </x:c>
      <x:c r="I279" s="147" t="n">
        <x:v>179</x:v>
      </x:c>
      <x:c r="J279" s="112" t="str">
        <x:v>International Warehouse</x:v>
      </x:c>
      <x:c r="K279" s="148" t="str"/>
      <x:c r="L279" s="148" t="str"/>
      <x:c r="M279" s="112" t="str">
        <x:v>Published</x:v>
      </x:c>
      <x:c r="N279" s="113" t="str">
        <x:v>https://www.klarelle.store/product/a65c42b8-2f4a-40b8-a139-ad86689a25d7</x:v>
      </x:c>
      <x:c r="O279" s="113" t="str">
        <x:v>Supplier-held inventory; no NJ bin unless transferred</x:v>
      </x:c>
      <x:c r="P279" s="112" t="str">
        <x:f>A279</x:f>
        <x:v>KLA-D057-GLD-M</x:v>
      </x:c>
      <x:c r="Q279" s="112" t="str">
        <x:f>IF(COUNTIF($A$9:$A$303,A279)&gt;1,"DUPLICATE","OK")</x:f>
        <x:v>OK</x:v>
      </x:c>
    </x:row>
    <x:row r="280" ht="24" customHeight="1">
      <x:c r="A280" s="144" t="str">
        <x:f>IF(B280&lt;&gt;"",B280,"KLA-"&amp;C280&amp;"-"&amp;G280&amp;"-"&amp;H280)</x:f>
        <x:v>KLA-D057-GLD-S</x:v>
      </x:c>
      <x:c r="B280" s="145" t="str"/>
      <x:c r="C280" s="146" t="str">
        <x:v>D057</x:v>
      </x:c>
      <x:c r="D280" s="112" t="str">
        <x:v>Brielle Fringe Gown</x:v>
      </x:c>
      <x:c r="E280" s="112" t="str">
        <x:v>Dress</x:v>
      </x:c>
      <x:c r="F280" s="112" t="str">
        <x:v>Gold</x:v>
      </x:c>
      <x:c r="G280" s="146" t="str">
        <x:v>GLD</x:v>
      </x:c>
      <x:c r="H280" s="146" t="str">
        <x:v>S</x:v>
      </x:c>
      <x:c r="I280" s="147" t="n">
        <x:v>179</x:v>
      </x:c>
      <x:c r="J280" s="112" t="str">
        <x:v>International Warehouse</x:v>
      </x:c>
      <x:c r="K280" s="148" t="str"/>
      <x:c r="L280" s="148" t="str"/>
      <x:c r="M280" s="112" t="str">
        <x:v>Published</x:v>
      </x:c>
      <x:c r="N280" s="113" t="str">
        <x:v>https://www.klarelle.store/product/a65c42b8-2f4a-40b8-a139-ad86689a25d7</x:v>
      </x:c>
      <x:c r="O280" s="113" t="str">
        <x:v>Supplier-held inventory; no NJ bin unless transferred</x:v>
      </x:c>
      <x:c r="P280" s="112" t="str">
        <x:f>A280</x:f>
        <x:v>KLA-D057-GLD-S</x:v>
      </x:c>
      <x:c r="Q280" s="112" t="str">
        <x:f>IF(COUNTIF($A$9:$A$303,A280)&gt;1,"DUPLICATE","OK")</x:f>
        <x:v>OK</x:v>
      </x:c>
    </x:row>
    <x:row r="281" ht="24" customHeight="1">
      <x:c r="A281" s="144" t="str">
        <x:f>IF(B281&lt;&gt;"",B281,"KLA-"&amp;C281&amp;"-"&amp;G281&amp;"-"&amp;H281)</x:f>
        <x:v>KLA-D057-GLD-XL</x:v>
      </x:c>
      <x:c r="B281" s="145" t="str"/>
      <x:c r="C281" s="146" t="str">
        <x:v>D057</x:v>
      </x:c>
      <x:c r="D281" s="112" t="str">
        <x:v>Brielle Fringe Gown</x:v>
      </x:c>
      <x:c r="E281" s="112" t="str">
        <x:v>Dress</x:v>
      </x:c>
      <x:c r="F281" s="112" t="str">
        <x:v>Gold</x:v>
      </x:c>
      <x:c r="G281" s="146" t="str">
        <x:v>GLD</x:v>
      </x:c>
      <x:c r="H281" s="146" t="str">
        <x:v>XL</x:v>
      </x:c>
      <x:c r="I281" s="147" t="n">
        <x:v>179</x:v>
      </x:c>
      <x:c r="J281" s="112" t="str">
        <x:v>International Warehouse</x:v>
      </x:c>
      <x:c r="K281" s="148" t="str"/>
      <x:c r="L281" s="148" t="str"/>
      <x:c r="M281" s="112" t="str">
        <x:v>Published</x:v>
      </x:c>
      <x:c r="N281" s="113" t="str">
        <x:v>https://www.klarelle.store/product/a65c42b8-2f4a-40b8-a139-ad86689a25d7</x:v>
      </x:c>
      <x:c r="O281" s="113" t="str">
        <x:v>Supplier-held inventory; no NJ bin unless transferred</x:v>
      </x:c>
      <x:c r="P281" s="112" t="str">
        <x:f>A281</x:f>
        <x:v>KLA-D057-GLD-XL</x:v>
      </x:c>
      <x:c r="Q281" s="112" t="str">
        <x:f>IF(COUNTIF($A$9:$A$303,A281)&gt;1,"DUPLICATE","OK")</x:f>
        <x:v>OK</x:v>
      </x:c>
    </x:row>
    <x:row r="282" ht="24" customHeight="1">
      <x:c r="A282" s="144" t="str">
        <x:f>IF(B282&lt;&gt;"",B282,"KLA-"&amp;C282&amp;"-"&amp;G282&amp;"-"&amp;H282)</x:f>
        <x:v>KLA-D057-MWO-L</x:v>
      </x:c>
      <x:c r="B282" s="145" t="str"/>
      <x:c r="C282" s="146" t="str">
        <x:v>D057</x:v>
      </x:c>
      <x:c r="D282" s="112" t="str">
        <x:v>Brielle Fringe Gown</x:v>
      </x:c>
      <x:c r="E282" s="112" t="str">
        <x:v>Dress</x:v>
      </x:c>
      <x:c r="F282" s="112" t="str">
        <x:v>Mint Green And White Ombre</x:v>
      </x:c>
      <x:c r="G282" s="146" t="str">
        <x:v>MWO</x:v>
      </x:c>
      <x:c r="H282" s="146" t="str">
        <x:v>L</x:v>
      </x:c>
      <x:c r="I282" s="147" t="n">
        <x:v>179</x:v>
      </x:c>
      <x:c r="J282" s="112" t="str">
        <x:v>International Warehouse</x:v>
      </x:c>
      <x:c r="K282" s="148" t="str"/>
      <x:c r="L282" s="148" t="str"/>
      <x:c r="M282" s="112" t="str">
        <x:v>Published</x:v>
      </x:c>
      <x:c r="N282" s="113" t="str">
        <x:v>https://www.klarelle.store/product/a65c42b8-2f4a-40b8-a139-ad86689a25d7</x:v>
      </x:c>
      <x:c r="O282" s="113" t="str">
        <x:v>Supplier-held inventory; no NJ bin unless transferred</x:v>
      </x:c>
      <x:c r="P282" s="112" t="str">
        <x:f>A282</x:f>
        <x:v>KLA-D057-MWO-L</x:v>
      </x:c>
      <x:c r="Q282" s="112" t="str">
        <x:f>IF(COUNTIF($A$9:$A$303,A282)&gt;1,"DUPLICATE","OK")</x:f>
        <x:v>OK</x:v>
      </x:c>
    </x:row>
    <x:row r="283" ht="24" customHeight="1">
      <x:c r="A283" s="144" t="str">
        <x:f>IF(B283&lt;&gt;"",B283,"KLA-"&amp;C283&amp;"-"&amp;G283&amp;"-"&amp;H283)</x:f>
        <x:v>KLA-D057-MWO-M</x:v>
      </x:c>
      <x:c r="B283" s="145" t="str"/>
      <x:c r="C283" s="146" t="str">
        <x:v>D057</x:v>
      </x:c>
      <x:c r="D283" s="112" t="str">
        <x:v>Brielle Fringe Gown</x:v>
      </x:c>
      <x:c r="E283" s="112" t="str">
        <x:v>Dress</x:v>
      </x:c>
      <x:c r="F283" s="112" t="str">
        <x:v>Mint Green And White Ombre</x:v>
      </x:c>
      <x:c r="G283" s="146" t="str">
        <x:v>MWO</x:v>
      </x:c>
      <x:c r="H283" s="146" t="str">
        <x:v>M</x:v>
      </x:c>
      <x:c r="I283" s="147" t="n">
        <x:v>179</x:v>
      </x:c>
      <x:c r="J283" s="112" t="str">
        <x:v>International Warehouse</x:v>
      </x:c>
      <x:c r="K283" s="148" t="str"/>
      <x:c r="L283" s="148" t="str"/>
      <x:c r="M283" s="112" t="str">
        <x:v>Published</x:v>
      </x:c>
      <x:c r="N283" s="113" t="str">
        <x:v>https://www.klarelle.store/product/a65c42b8-2f4a-40b8-a139-ad86689a25d7</x:v>
      </x:c>
      <x:c r="O283" s="113" t="str">
        <x:v>Supplier-held inventory; no NJ bin unless transferred</x:v>
      </x:c>
      <x:c r="P283" s="112" t="str">
        <x:f>A283</x:f>
        <x:v>KLA-D057-MWO-M</x:v>
      </x:c>
      <x:c r="Q283" s="112" t="str">
        <x:f>IF(COUNTIF($A$9:$A$303,A283)&gt;1,"DUPLICATE","OK")</x:f>
        <x:v>OK</x:v>
      </x:c>
    </x:row>
    <x:row r="284" ht="24" customHeight="1">
      <x:c r="A284" s="144" t="str">
        <x:f>IF(B284&lt;&gt;"",B284,"KLA-"&amp;C284&amp;"-"&amp;G284&amp;"-"&amp;H284)</x:f>
        <x:v>KLA-D057-MWO-S</x:v>
      </x:c>
      <x:c r="B284" s="145" t="str"/>
      <x:c r="C284" s="146" t="str">
        <x:v>D057</x:v>
      </x:c>
      <x:c r="D284" s="112" t="str">
        <x:v>Brielle Fringe Gown</x:v>
      </x:c>
      <x:c r="E284" s="112" t="str">
        <x:v>Dress</x:v>
      </x:c>
      <x:c r="F284" s="112" t="str">
        <x:v>Mint Green And White Ombre</x:v>
      </x:c>
      <x:c r="G284" s="146" t="str">
        <x:v>MWO</x:v>
      </x:c>
      <x:c r="H284" s="146" t="str">
        <x:v>S</x:v>
      </x:c>
      <x:c r="I284" s="147" t="n">
        <x:v>179</x:v>
      </x:c>
      <x:c r="J284" s="112" t="str">
        <x:v>International Warehouse</x:v>
      </x:c>
      <x:c r="K284" s="148" t="str"/>
      <x:c r="L284" s="148" t="str"/>
      <x:c r="M284" s="112" t="str">
        <x:v>Published</x:v>
      </x:c>
      <x:c r="N284" s="113" t="str">
        <x:v>https://www.klarelle.store/product/a65c42b8-2f4a-40b8-a139-ad86689a25d7</x:v>
      </x:c>
      <x:c r="O284" s="113" t="str">
        <x:v>Supplier-held inventory; no NJ bin unless transferred</x:v>
      </x:c>
      <x:c r="P284" s="112" t="str">
        <x:f>A284</x:f>
        <x:v>KLA-D057-MWO-S</x:v>
      </x:c>
      <x:c r="Q284" s="112" t="str">
        <x:f>IF(COUNTIF($A$9:$A$303,A284)&gt;1,"DUPLICATE","OK")</x:f>
        <x:v>OK</x:v>
      </x:c>
    </x:row>
    <x:row r="285" ht="24" customHeight="1">
      <x:c r="A285" s="144" t="str">
        <x:f>IF(B285&lt;&gt;"",B285,"KLA-"&amp;C285&amp;"-"&amp;G285&amp;"-"&amp;H285)</x:f>
        <x:v>KLA-D057-MWO-XL</x:v>
      </x:c>
      <x:c r="B285" s="145" t="str"/>
      <x:c r="C285" s="146" t="str">
        <x:v>D057</x:v>
      </x:c>
      <x:c r="D285" s="112" t="str">
        <x:v>Brielle Fringe Gown</x:v>
      </x:c>
      <x:c r="E285" s="112" t="str">
        <x:v>Dress</x:v>
      </x:c>
      <x:c r="F285" s="112" t="str">
        <x:v>Mint Green And White Ombre</x:v>
      </x:c>
      <x:c r="G285" s="146" t="str">
        <x:v>MWO</x:v>
      </x:c>
      <x:c r="H285" s="146" t="str">
        <x:v>XL</x:v>
      </x:c>
      <x:c r="I285" s="147" t="n">
        <x:v>179</x:v>
      </x:c>
      <x:c r="J285" s="112" t="str">
        <x:v>International Warehouse</x:v>
      </x:c>
      <x:c r="K285" s="148" t="str"/>
      <x:c r="L285" s="148" t="str"/>
      <x:c r="M285" s="112" t="str">
        <x:v>Published</x:v>
      </x:c>
      <x:c r="N285" s="113" t="str">
        <x:v>https://www.klarelle.store/product/a65c42b8-2f4a-40b8-a139-ad86689a25d7</x:v>
      </x:c>
      <x:c r="O285" s="113" t="str">
        <x:v>Supplier-held inventory; no NJ bin unless transferred</x:v>
      </x:c>
      <x:c r="P285" s="112" t="str">
        <x:f>A285</x:f>
        <x:v>KLA-D057-MWO-XL</x:v>
      </x:c>
      <x:c r="Q285" s="112" t="str">
        <x:f>IF(COUNTIF($A$9:$A$303,A285)&gt;1,"DUPLICATE","OK")</x:f>
        <x:v>OK</x:v>
      </x:c>
    </x:row>
    <x:row r="286" ht="24" customHeight="1">
      <x:c r="A286" s="144" t="str">
        <x:f>IF(B286&lt;&gt;"",B286,"KLA-"&amp;C286&amp;"-"&amp;G286&amp;"-"&amp;H286)</x:f>
        <x:v>KLA-D057-PWO-L</x:v>
      </x:c>
      <x:c r="B286" s="145" t="str"/>
      <x:c r="C286" s="146" t="str">
        <x:v>D057</x:v>
      </x:c>
      <x:c r="D286" s="112" t="str">
        <x:v>Brielle Fringe Gown</x:v>
      </x:c>
      <x:c r="E286" s="112" t="str">
        <x:v>Dress</x:v>
      </x:c>
      <x:c r="F286" s="112" t="str">
        <x:v>Pink And White Ombre</x:v>
      </x:c>
      <x:c r="G286" s="146" t="str">
        <x:v>PWO</x:v>
      </x:c>
      <x:c r="H286" s="146" t="str">
        <x:v>L</x:v>
      </x:c>
      <x:c r="I286" s="147" t="n">
        <x:v>179</x:v>
      </x:c>
      <x:c r="J286" s="112" t="str">
        <x:v>International Warehouse</x:v>
      </x:c>
      <x:c r="K286" s="148" t="str"/>
      <x:c r="L286" s="148" t="str"/>
      <x:c r="M286" s="112" t="str">
        <x:v>Published</x:v>
      </x:c>
      <x:c r="N286" s="113" t="str">
        <x:v>https://www.klarelle.store/product/a65c42b8-2f4a-40b8-a139-ad86689a25d7</x:v>
      </x:c>
      <x:c r="O286" s="113" t="str">
        <x:v>Supplier-held inventory; no NJ bin unless transferred</x:v>
      </x:c>
      <x:c r="P286" s="112" t="str">
        <x:f>A286</x:f>
        <x:v>KLA-D057-PWO-L</x:v>
      </x:c>
      <x:c r="Q286" s="112" t="str">
        <x:f>IF(COUNTIF($A$9:$A$303,A286)&gt;1,"DUPLICATE","OK")</x:f>
        <x:v>OK</x:v>
      </x:c>
    </x:row>
    <x:row r="287" ht="24" customHeight="1">
      <x:c r="A287" s="144" t="str">
        <x:f>IF(B287&lt;&gt;"",B287,"KLA-"&amp;C287&amp;"-"&amp;G287&amp;"-"&amp;H287)</x:f>
        <x:v>KLA-D057-PWO-M</x:v>
      </x:c>
      <x:c r="B287" s="145" t="str"/>
      <x:c r="C287" s="146" t="str">
        <x:v>D057</x:v>
      </x:c>
      <x:c r="D287" s="112" t="str">
        <x:v>Brielle Fringe Gown</x:v>
      </x:c>
      <x:c r="E287" s="112" t="str">
        <x:v>Dress</x:v>
      </x:c>
      <x:c r="F287" s="112" t="str">
        <x:v>Pink And White Ombre</x:v>
      </x:c>
      <x:c r="G287" s="146" t="str">
        <x:v>PWO</x:v>
      </x:c>
      <x:c r="H287" s="146" t="str">
        <x:v>M</x:v>
      </x:c>
      <x:c r="I287" s="147" t="n">
        <x:v>179</x:v>
      </x:c>
      <x:c r="J287" s="112" t="str">
        <x:v>International Warehouse</x:v>
      </x:c>
      <x:c r="K287" s="148" t="str"/>
      <x:c r="L287" s="148" t="str"/>
      <x:c r="M287" s="112" t="str">
        <x:v>Published</x:v>
      </x:c>
      <x:c r="N287" s="113" t="str">
        <x:v>https://www.klarelle.store/product/a65c42b8-2f4a-40b8-a139-ad86689a25d7</x:v>
      </x:c>
      <x:c r="O287" s="113" t="str">
        <x:v>Supplier-held inventory; no NJ bin unless transferred</x:v>
      </x:c>
      <x:c r="P287" s="112" t="str">
        <x:f>A287</x:f>
        <x:v>KLA-D057-PWO-M</x:v>
      </x:c>
      <x:c r="Q287" s="112" t="str">
        <x:f>IF(COUNTIF($A$9:$A$303,A287)&gt;1,"DUPLICATE","OK")</x:f>
        <x:v>OK</x:v>
      </x:c>
    </x:row>
    <x:row r="288" ht="24" customHeight="1">
      <x:c r="A288" s="144" t="str">
        <x:f>IF(B288&lt;&gt;"",B288,"KLA-"&amp;C288&amp;"-"&amp;G288&amp;"-"&amp;H288)</x:f>
        <x:v>KLA-D057-PWO-S</x:v>
      </x:c>
      <x:c r="B288" s="145" t="str"/>
      <x:c r="C288" s="146" t="str">
        <x:v>D057</x:v>
      </x:c>
      <x:c r="D288" s="112" t="str">
        <x:v>Brielle Fringe Gown</x:v>
      </x:c>
      <x:c r="E288" s="112" t="str">
        <x:v>Dress</x:v>
      </x:c>
      <x:c r="F288" s="112" t="str">
        <x:v>Pink And White Ombre</x:v>
      </x:c>
      <x:c r="G288" s="146" t="str">
        <x:v>PWO</x:v>
      </x:c>
      <x:c r="H288" s="146" t="str">
        <x:v>S</x:v>
      </x:c>
      <x:c r="I288" s="147" t="n">
        <x:v>179</x:v>
      </x:c>
      <x:c r="J288" s="112" t="str">
        <x:v>International Warehouse</x:v>
      </x:c>
      <x:c r="K288" s="148" t="str"/>
      <x:c r="L288" s="148" t="str"/>
      <x:c r="M288" s="112" t="str">
        <x:v>Published</x:v>
      </x:c>
      <x:c r="N288" s="113" t="str">
        <x:v>https://www.klarelle.store/product/a65c42b8-2f4a-40b8-a139-ad86689a25d7</x:v>
      </x:c>
      <x:c r="O288" s="113" t="str">
        <x:v>Supplier-held inventory; no NJ bin unless transferred</x:v>
      </x:c>
      <x:c r="P288" s="112" t="str">
        <x:f>A288</x:f>
        <x:v>KLA-D057-PWO-S</x:v>
      </x:c>
      <x:c r="Q288" s="112" t="str">
        <x:f>IF(COUNTIF($A$9:$A$303,A288)&gt;1,"DUPLICATE","OK")</x:f>
        <x:v>OK</x:v>
      </x:c>
    </x:row>
    <x:row r="289" ht="24" customHeight="1">
      <x:c r="A289" s="144" t="str">
        <x:f>IF(B289&lt;&gt;"",B289,"KLA-"&amp;C289&amp;"-"&amp;G289&amp;"-"&amp;H289)</x:f>
        <x:v>KLA-D057-PWO-XL</x:v>
      </x:c>
      <x:c r="B289" s="145" t="str"/>
      <x:c r="C289" s="146" t="str">
        <x:v>D057</x:v>
      </x:c>
      <x:c r="D289" s="112" t="str">
        <x:v>Brielle Fringe Gown</x:v>
      </x:c>
      <x:c r="E289" s="112" t="str">
        <x:v>Dress</x:v>
      </x:c>
      <x:c r="F289" s="112" t="str">
        <x:v>Pink And White Ombre</x:v>
      </x:c>
      <x:c r="G289" s="146" t="str">
        <x:v>PWO</x:v>
      </x:c>
      <x:c r="H289" s="146" t="str">
        <x:v>XL</x:v>
      </x:c>
      <x:c r="I289" s="147" t="n">
        <x:v>179</x:v>
      </x:c>
      <x:c r="J289" s="112" t="str">
        <x:v>International Warehouse</x:v>
      </x:c>
      <x:c r="K289" s="148" t="str"/>
      <x:c r="L289" s="148" t="str"/>
      <x:c r="M289" s="112" t="str">
        <x:v>Published</x:v>
      </x:c>
      <x:c r="N289" s="113" t="str">
        <x:v>https://www.klarelle.store/product/a65c42b8-2f4a-40b8-a139-ad86689a25d7</x:v>
      </x:c>
      <x:c r="O289" s="113" t="str">
        <x:v>Supplier-held inventory; no NJ bin unless transferred</x:v>
      </x:c>
      <x:c r="P289" s="112" t="str">
        <x:f>A289</x:f>
        <x:v>KLA-D057-PWO-XL</x:v>
      </x:c>
      <x:c r="Q289" s="112" t="str">
        <x:f>IF(COUNTIF($A$9:$A$303,A289)&gt;1,"DUPLICATE","OK")</x:f>
        <x:v>OK</x:v>
      </x:c>
    </x:row>
    <x:row r="290" ht="24" customHeight="1">
      <x:c r="A290" s="144" t="str">
        <x:f>IF(B290&lt;&gt;"",B290,"KLA-"&amp;C290&amp;"-"&amp;G290&amp;"-"&amp;H290)</x:f>
        <x:v>KLA-D058-PNK-L</x:v>
      </x:c>
      <x:c r="B290" s="145" t="str"/>
      <x:c r="C290" s="146" t="str">
        <x:v>D058</x:v>
      </x:c>
      <x:c r="D290" s="112" t="str">
        <x:v>Zaria Crystal Gown</x:v>
      </x:c>
      <x:c r="E290" s="112" t="str">
        <x:v>Dress</x:v>
      </x:c>
      <x:c r="F290" s="112" t="str">
        <x:v>Pink</x:v>
      </x:c>
      <x:c r="G290" s="146" t="str">
        <x:v>PNK</x:v>
      </x:c>
      <x:c r="H290" s="146" t="str">
        <x:v>L</x:v>
      </x:c>
      <x:c r="I290" s="147" t="n">
        <x:v>176</x:v>
      </x:c>
      <x:c r="J290" s="112" t="str">
        <x:v>International Warehouse</x:v>
      </x:c>
      <x:c r="K290" s="148" t="str"/>
      <x:c r="L290" s="148" t="str"/>
      <x:c r="M290" s="112" t="str">
        <x:v>Published</x:v>
      </x:c>
      <x:c r="N290" s="113" t="str">
        <x:v>https://www.klarelle.store/product/48eb4b04-2f0c-4ac8-982e-cddedff72094</x:v>
      </x:c>
      <x:c r="O290" s="113" t="str">
        <x:v>Supplier-held inventory; no NJ bin unless transferred</x:v>
      </x:c>
      <x:c r="P290" s="112" t="str">
        <x:f>A290</x:f>
        <x:v>KLA-D058-PNK-L</x:v>
      </x:c>
      <x:c r="Q290" s="112" t="str">
        <x:f>IF(COUNTIF($A$9:$A$303,A290)&gt;1,"DUPLICATE","OK")</x:f>
        <x:v>OK</x:v>
      </x:c>
    </x:row>
    <x:row r="291" ht="24" customHeight="1">
      <x:c r="A291" s="144" t="str">
        <x:f>IF(B291&lt;&gt;"",B291,"KLA-"&amp;C291&amp;"-"&amp;G291&amp;"-"&amp;H291)</x:f>
        <x:v>KLA-D058-PNK-M</x:v>
      </x:c>
      <x:c r="B291" s="145" t="str"/>
      <x:c r="C291" s="146" t="str">
        <x:v>D058</x:v>
      </x:c>
      <x:c r="D291" s="112" t="str">
        <x:v>Zaria Crystal Gown</x:v>
      </x:c>
      <x:c r="E291" s="112" t="str">
        <x:v>Dress</x:v>
      </x:c>
      <x:c r="F291" s="112" t="str">
        <x:v>Pink</x:v>
      </x:c>
      <x:c r="G291" s="146" t="str">
        <x:v>PNK</x:v>
      </x:c>
      <x:c r="H291" s="146" t="str">
        <x:v>M</x:v>
      </x:c>
      <x:c r="I291" s="147" t="n">
        <x:v>176</x:v>
      </x:c>
      <x:c r="J291" s="112" t="str">
        <x:v>International Warehouse</x:v>
      </x:c>
      <x:c r="K291" s="148" t="str"/>
      <x:c r="L291" s="148" t="str"/>
      <x:c r="M291" s="112" t="str">
        <x:v>Published</x:v>
      </x:c>
      <x:c r="N291" s="113" t="str">
        <x:v>https://www.klarelle.store/product/48eb4b04-2f0c-4ac8-982e-cddedff72094</x:v>
      </x:c>
      <x:c r="O291" s="113" t="str">
        <x:v>Supplier-held inventory; no NJ bin unless transferred</x:v>
      </x:c>
      <x:c r="P291" s="112" t="str">
        <x:f>A291</x:f>
        <x:v>KLA-D058-PNK-M</x:v>
      </x:c>
      <x:c r="Q291" s="112" t="str">
        <x:f>IF(COUNTIF($A$9:$A$303,A291)&gt;1,"DUPLICATE","OK")</x:f>
        <x:v>OK</x:v>
      </x:c>
    </x:row>
    <x:row r="292" ht="24" customHeight="1">
      <x:c r="A292" s="144" t="str">
        <x:f>IF(B292&lt;&gt;"",B292,"KLA-"&amp;C292&amp;"-"&amp;G292&amp;"-"&amp;H292)</x:f>
        <x:v>KLA-D058-PNK-S</x:v>
      </x:c>
      <x:c r="B292" s="145" t="str"/>
      <x:c r="C292" s="146" t="str">
        <x:v>D058</x:v>
      </x:c>
      <x:c r="D292" s="112" t="str">
        <x:v>Zaria Crystal Gown</x:v>
      </x:c>
      <x:c r="E292" s="112" t="str">
        <x:v>Dress</x:v>
      </x:c>
      <x:c r="F292" s="112" t="str">
        <x:v>Pink</x:v>
      </x:c>
      <x:c r="G292" s="146" t="str">
        <x:v>PNK</x:v>
      </x:c>
      <x:c r="H292" s="146" t="str">
        <x:v>S</x:v>
      </x:c>
      <x:c r="I292" s="147" t="n">
        <x:v>176</x:v>
      </x:c>
      <x:c r="J292" s="112" t="str">
        <x:v>International Warehouse</x:v>
      </x:c>
      <x:c r="K292" s="148" t="str"/>
      <x:c r="L292" s="148" t="str"/>
      <x:c r="M292" s="112" t="str">
        <x:v>Published</x:v>
      </x:c>
      <x:c r="N292" s="113" t="str">
        <x:v>https://www.klarelle.store/product/48eb4b04-2f0c-4ac8-982e-cddedff72094</x:v>
      </x:c>
      <x:c r="O292" s="113" t="str">
        <x:v>Supplier-held inventory; no NJ bin unless transferred</x:v>
      </x:c>
      <x:c r="P292" s="112" t="str">
        <x:f>A292</x:f>
        <x:v>KLA-D058-PNK-S</x:v>
      </x:c>
      <x:c r="Q292" s="112" t="str">
        <x:f>IF(COUNTIF($A$9:$A$303,A292)&gt;1,"DUPLICATE","OK")</x:f>
        <x:v>OK</x:v>
      </x:c>
    </x:row>
    <x:row r="293" ht="24" customHeight="1">
      <x:c r="A293" s="144" t="str">
        <x:f>IF(B293&lt;&gt;"",B293,"KLA-"&amp;C293&amp;"-"&amp;G293&amp;"-"&amp;H293)</x:f>
        <x:v>KLA-D058-PNK-XL</x:v>
      </x:c>
      <x:c r="B293" s="145" t="str"/>
      <x:c r="C293" s="146" t="str">
        <x:v>D058</x:v>
      </x:c>
      <x:c r="D293" s="112" t="str">
        <x:v>Zaria Crystal Gown</x:v>
      </x:c>
      <x:c r="E293" s="112" t="str">
        <x:v>Dress</x:v>
      </x:c>
      <x:c r="F293" s="112" t="str">
        <x:v>Pink</x:v>
      </x:c>
      <x:c r="G293" s="146" t="str">
        <x:v>PNK</x:v>
      </x:c>
      <x:c r="H293" s="146" t="str">
        <x:v>XL</x:v>
      </x:c>
      <x:c r="I293" s="147" t="n">
        <x:v>176</x:v>
      </x:c>
      <x:c r="J293" s="112" t="str">
        <x:v>International Warehouse</x:v>
      </x:c>
      <x:c r="K293" s="148" t="str"/>
      <x:c r="L293" s="148" t="str"/>
      <x:c r="M293" s="112" t="str">
        <x:v>Published</x:v>
      </x:c>
      <x:c r="N293" s="113" t="str">
        <x:v>https://www.klarelle.store/product/48eb4b04-2f0c-4ac8-982e-cddedff72094</x:v>
      </x:c>
      <x:c r="O293" s="113" t="str">
        <x:v>Supplier-held inventory; no NJ bin unless transferred</x:v>
      </x:c>
      <x:c r="P293" s="112" t="str">
        <x:f>A293</x:f>
        <x:v>KLA-D058-PNK-XL</x:v>
      </x:c>
      <x:c r="Q293" s="112" t="str">
        <x:f>IF(COUNTIF($A$9:$A$303,A293)&gt;1,"DUPLICATE","OK")</x:f>
        <x:v>OK</x:v>
      </x:c>
    </x:row>
    <x:row r="294" ht="24" customHeight="1">
      <x:c r="A294" s="144" t="str">
        <x:f>IF(B294&lt;&gt;"",B294,"KLA-"&amp;C294&amp;"-"&amp;G294&amp;"-"&amp;H294)</x:f>
        <x:v>KLA-D059-MLT-L</x:v>
      </x:c>
      <x:c r="B294" s="145" t="str"/>
      <x:c r="C294" s="146" t="str">
        <x:v>D059</x:v>
      </x:c>
      <x:c r="D294" s="112" t="str">
        <x:v>Amara Rhinestone Gown</x:v>
      </x:c>
      <x:c r="E294" s="112" t="str">
        <x:v>Dress</x:v>
      </x:c>
      <x:c r="F294" s="112" t="str">
        <x:v>Multi Colored</x:v>
      </x:c>
      <x:c r="G294" s="146" t="str">
        <x:v>MLT</x:v>
      </x:c>
      <x:c r="H294" s="146" t="str">
        <x:v>L</x:v>
      </x:c>
      <x:c r="I294" s="147" t="n">
        <x:v>189</x:v>
      </x:c>
      <x:c r="J294" s="112" t="str">
        <x:v>International Warehouse</x:v>
      </x:c>
      <x:c r="K294" s="148" t="str"/>
      <x:c r="L294" s="148" t="str"/>
      <x:c r="M294" s="112" t="str">
        <x:v>Published</x:v>
      </x:c>
      <x:c r="N294" s="113" t="str">
        <x:v>https://www.klarelle.store/product/4d603023-3a7b-4565-8076-d041231a56a6</x:v>
      </x:c>
      <x:c r="O294" s="113" t="str">
        <x:v>Supplier-held inventory; no NJ bin unless transferred</x:v>
      </x:c>
      <x:c r="P294" s="112" t="str">
        <x:f>A294</x:f>
        <x:v>KLA-D059-MLT-L</x:v>
      </x:c>
      <x:c r="Q294" s="112" t="str">
        <x:f>IF(COUNTIF($A$9:$A$303,A294)&gt;1,"DUPLICATE","OK")</x:f>
        <x:v>OK</x:v>
      </x:c>
    </x:row>
    <x:row r="295" ht="24" customHeight="1">
      <x:c r="A295" s="144" t="str">
        <x:f>IF(B295&lt;&gt;"",B295,"KLA-"&amp;C295&amp;"-"&amp;G295&amp;"-"&amp;H295)</x:f>
        <x:v>KLA-D059-MLT-M</x:v>
      </x:c>
      <x:c r="B295" s="145" t="str"/>
      <x:c r="C295" s="146" t="str">
        <x:v>D059</x:v>
      </x:c>
      <x:c r="D295" s="112" t="str">
        <x:v>Amara Rhinestone Gown</x:v>
      </x:c>
      <x:c r="E295" s="112" t="str">
        <x:v>Dress</x:v>
      </x:c>
      <x:c r="F295" s="112" t="str">
        <x:v>Multi Colored</x:v>
      </x:c>
      <x:c r="G295" s="146" t="str">
        <x:v>MLT</x:v>
      </x:c>
      <x:c r="H295" s="146" t="str">
        <x:v>M</x:v>
      </x:c>
      <x:c r="I295" s="147" t="n">
        <x:v>189</x:v>
      </x:c>
      <x:c r="J295" s="112" t="str">
        <x:v>International Warehouse</x:v>
      </x:c>
      <x:c r="K295" s="148" t="str"/>
      <x:c r="L295" s="148" t="str"/>
      <x:c r="M295" s="112" t="str">
        <x:v>Published</x:v>
      </x:c>
      <x:c r="N295" s="113" t="str">
        <x:v>https://www.klarelle.store/product/4d603023-3a7b-4565-8076-d041231a56a6</x:v>
      </x:c>
      <x:c r="O295" s="113" t="str">
        <x:v>Supplier-held inventory; no NJ bin unless transferred</x:v>
      </x:c>
      <x:c r="P295" s="112" t="str">
        <x:f>A295</x:f>
        <x:v>KLA-D059-MLT-M</x:v>
      </x:c>
      <x:c r="Q295" s="112" t="str">
        <x:f>IF(COUNTIF($A$9:$A$303,A295)&gt;1,"DUPLICATE","OK")</x:f>
        <x:v>OK</x:v>
      </x:c>
    </x:row>
    <x:row r="296" ht="24" customHeight="1">
      <x:c r="A296" s="144" t="str">
        <x:f>IF(B296&lt;&gt;"",B296,"KLA-"&amp;C296&amp;"-"&amp;G296&amp;"-"&amp;H296)</x:f>
        <x:v>KLA-D059-MLT-S</x:v>
      </x:c>
      <x:c r="B296" s="145" t="str"/>
      <x:c r="C296" s="146" t="str">
        <x:v>D059</x:v>
      </x:c>
      <x:c r="D296" s="112" t="str">
        <x:v>Amara Rhinestone Gown</x:v>
      </x:c>
      <x:c r="E296" s="112" t="str">
        <x:v>Dress</x:v>
      </x:c>
      <x:c r="F296" s="112" t="str">
        <x:v>Multi Colored</x:v>
      </x:c>
      <x:c r="G296" s="146" t="str">
        <x:v>MLT</x:v>
      </x:c>
      <x:c r="H296" s="146" t="str">
        <x:v>S</x:v>
      </x:c>
      <x:c r="I296" s="147" t="n">
        <x:v>189</x:v>
      </x:c>
      <x:c r="J296" s="112" t="str">
        <x:v>International Warehouse</x:v>
      </x:c>
      <x:c r="K296" s="148" t="str"/>
      <x:c r="L296" s="148" t="str"/>
      <x:c r="M296" s="112" t="str">
        <x:v>Published</x:v>
      </x:c>
      <x:c r="N296" s="113" t="str">
        <x:v>https://www.klarelle.store/product/4d603023-3a7b-4565-8076-d041231a56a6</x:v>
      </x:c>
      <x:c r="O296" s="113" t="str">
        <x:v>Supplier-held inventory; no NJ bin unless transferred</x:v>
      </x:c>
      <x:c r="P296" s="112" t="str">
        <x:f>A296</x:f>
        <x:v>KLA-D059-MLT-S</x:v>
      </x:c>
      <x:c r="Q296" s="112" t="str">
        <x:f>IF(COUNTIF($A$9:$A$303,A296)&gt;1,"DUPLICATE","OK")</x:f>
        <x:v>OK</x:v>
      </x:c>
    </x:row>
    <x:row r="297" ht="24" customHeight="1">
      <x:c r="A297" s="144" t="str">
        <x:f>IF(B297&lt;&gt;"",B297,"KLA-"&amp;C297&amp;"-"&amp;G297&amp;"-"&amp;H297)</x:f>
        <x:v>KLA-D059-MLT-XL</x:v>
      </x:c>
      <x:c r="B297" s="145" t="str"/>
      <x:c r="C297" s="146" t="str">
        <x:v>D059</x:v>
      </x:c>
      <x:c r="D297" s="112" t="str">
        <x:v>Amara Rhinestone Gown</x:v>
      </x:c>
      <x:c r="E297" s="112" t="str">
        <x:v>Dress</x:v>
      </x:c>
      <x:c r="F297" s="112" t="str">
        <x:v>Multi Colored</x:v>
      </x:c>
      <x:c r="G297" s="146" t="str">
        <x:v>MLT</x:v>
      </x:c>
      <x:c r="H297" s="146" t="str">
        <x:v>XL</x:v>
      </x:c>
      <x:c r="I297" s="147" t="n">
        <x:v>189</x:v>
      </x:c>
      <x:c r="J297" s="112" t="str">
        <x:v>International Warehouse</x:v>
      </x:c>
      <x:c r="K297" s="148" t="str"/>
      <x:c r="L297" s="148" t="str"/>
      <x:c r="M297" s="112" t="str">
        <x:v>Published</x:v>
      </x:c>
      <x:c r="N297" s="113" t="str">
        <x:v>https://www.klarelle.store/product/4d603023-3a7b-4565-8076-d041231a56a6</x:v>
      </x:c>
      <x:c r="O297" s="113" t="str">
        <x:v>Supplier-held inventory; no NJ bin unless transferred</x:v>
      </x:c>
      <x:c r="P297" s="112" t="str">
        <x:f>A297</x:f>
        <x:v>KLA-D059-MLT-XL</x:v>
      </x:c>
      <x:c r="Q297" s="112" t="str">
        <x:f>IF(COUNTIF($A$9:$A$303,A297)&gt;1,"DUPLICATE","OK")</x:f>
        <x:v>OK</x:v>
      </x:c>
    </x:row>
    <x:row r="298" ht="24" customHeight="1">
      <x:c r="A298" s="144" t="str">
        <x:f>IF(B298&lt;&gt;"",B298,"KLA-"&amp;C298&amp;"-"&amp;G298&amp;"-"&amp;H298)</x:f>
        <x:v>KLA-SHP001-BLK-L</x:v>
      </x:c>
      <x:c r="B298" s="145" t="str"/>
      <x:c r="C298" s="146" t="str">
        <x:v>SHP001</x:v>
      </x:c>
      <x:c r="D298" s="112" t="str">
        <x:v>Klarelle Hour Glass Body Shaper</x:v>
      </x:c>
      <x:c r="E298" s="112" t="str">
        <x:v>Shapewear</x:v>
      </x:c>
      <x:c r="F298" s="112" t="str">
        <x:v>Black</x:v>
      </x:c>
      <x:c r="G298" s="146" t="str">
        <x:v>BLK</x:v>
      </x:c>
      <x:c r="H298" s="146" t="str">
        <x:v>L</x:v>
      </x:c>
      <x:c r="I298" s="147" t="n">
        <x:v>62.99</x:v>
      </x:c>
      <x:c r="J298" s="112" t="str">
        <x:v>US Warehouse</x:v>
      </x:c>
      <x:c r="K298" s="148" t="str"/>
      <x:c r="L298" s="148" t="str"/>
      <x:c r="M298" s="112" t="str">
        <x:v>Published</x:v>
      </x:c>
      <x:c r="N298" s="113" t="str">
        <x:v>https://www.klarelle.store/product/b091bc3b-7933-410b-bd50-7b31977922cd</x:v>
      </x:c>
      <x:c r="O298" s="113" t="str">
        <x:v>Assign NJ bin if physically stocked</x:v>
      </x:c>
      <x:c r="P298" s="112" t="str">
        <x:f>A298</x:f>
        <x:v>KLA-SHP001-BLK-L</x:v>
      </x:c>
      <x:c r="Q298" s="112" t="str">
        <x:f>IF(COUNTIF($A$9:$A$303,A298)&gt;1,"DUPLICATE","OK")</x:f>
        <x:v>OK</x:v>
      </x:c>
    </x:row>
    <x:row r="299" ht="24" customHeight="1">
      <x:c r="A299" s="144" t="str">
        <x:f>IF(B299&lt;&gt;"",B299,"KLA-"&amp;C299&amp;"-"&amp;G299&amp;"-"&amp;H299)</x:f>
        <x:v>KLA-SHP001-BLK-M</x:v>
      </x:c>
      <x:c r="B299" s="145" t="str"/>
      <x:c r="C299" s="146" t="str">
        <x:v>SHP001</x:v>
      </x:c>
      <x:c r="D299" s="112" t="str">
        <x:v>Klarelle Hour Glass Body Shaper</x:v>
      </x:c>
      <x:c r="E299" s="112" t="str">
        <x:v>Shapewear</x:v>
      </x:c>
      <x:c r="F299" s="112" t="str">
        <x:v>Black</x:v>
      </x:c>
      <x:c r="G299" s="146" t="str">
        <x:v>BLK</x:v>
      </x:c>
      <x:c r="H299" s="146" t="str">
        <x:v>M</x:v>
      </x:c>
      <x:c r="I299" s="147" t="n">
        <x:v>62.99</x:v>
      </x:c>
      <x:c r="J299" s="112" t="str">
        <x:v>US Warehouse</x:v>
      </x:c>
      <x:c r="K299" s="148" t="str"/>
      <x:c r="L299" s="148" t="str"/>
      <x:c r="M299" s="112" t="str">
        <x:v>Published</x:v>
      </x:c>
      <x:c r="N299" s="113" t="str">
        <x:v>https://www.klarelle.store/product/b091bc3b-7933-410b-bd50-7b31977922cd</x:v>
      </x:c>
      <x:c r="O299" s="113" t="str">
        <x:v>Assign NJ bin if physically stocked</x:v>
      </x:c>
      <x:c r="P299" s="112" t="str">
        <x:f>A299</x:f>
        <x:v>KLA-SHP001-BLK-M</x:v>
      </x:c>
      <x:c r="Q299" s="112" t="str">
        <x:f>IF(COUNTIF($A$9:$A$303,A299)&gt;1,"DUPLICATE","OK")</x:f>
        <x:v>OK</x:v>
      </x:c>
    </x:row>
    <x:row r="300" ht="24" customHeight="1">
      <x:c r="A300" s="144" t="str">
        <x:f>IF(B300&lt;&gt;"",B300,"KLA-"&amp;C300&amp;"-"&amp;G300&amp;"-"&amp;H300)</x:f>
        <x:v>KLA-SHP001-BLK-S</x:v>
      </x:c>
      <x:c r="B300" s="145" t="str"/>
      <x:c r="C300" s="146" t="str">
        <x:v>SHP001</x:v>
      </x:c>
      <x:c r="D300" s="112" t="str">
        <x:v>Klarelle Hour Glass Body Shaper</x:v>
      </x:c>
      <x:c r="E300" s="112" t="str">
        <x:v>Shapewear</x:v>
      </x:c>
      <x:c r="F300" s="112" t="str">
        <x:v>Black</x:v>
      </x:c>
      <x:c r="G300" s="146" t="str">
        <x:v>BLK</x:v>
      </x:c>
      <x:c r="H300" s="146" t="str">
        <x:v>S</x:v>
      </x:c>
      <x:c r="I300" s="147" t="n">
        <x:v>62.99</x:v>
      </x:c>
      <x:c r="J300" s="112" t="str">
        <x:v>US Warehouse</x:v>
      </x:c>
      <x:c r="K300" s="148" t="str"/>
      <x:c r="L300" s="148" t="str"/>
      <x:c r="M300" s="112" t="str">
        <x:v>Published</x:v>
      </x:c>
      <x:c r="N300" s="113" t="str">
        <x:v>https://www.klarelle.store/product/b091bc3b-7933-410b-bd50-7b31977922cd</x:v>
      </x:c>
      <x:c r="O300" s="113" t="str">
        <x:v>Assign NJ bin if physically stocked</x:v>
      </x:c>
      <x:c r="P300" s="112" t="str">
        <x:f>A300</x:f>
        <x:v>KLA-SHP001-BLK-S</x:v>
      </x:c>
      <x:c r="Q300" s="112" t="str">
        <x:f>IF(COUNTIF($A$9:$A$303,A300)&gt;1,"DUPLICATE","OK")</x:f>
        <x:v>OK</x:v>
      </x:c>
    </x:row>
    <x:row r="301" ht="24" customHeight="1">
      <x:c r="A301" s="144" t="str">
        <x:f>IF(B301&lt;&gt;"",B301,"KLA-"&amp;C301&amp;"-"&amp;G301&amp;"-"&amp;H301)</x:f>
        <x:v>KLA-SHP001-BLK-XL</x:v>
      </x:c>
      <x:c r="B301" s="145" t="str"/>
      <x:c r="C301" s="146" t="str">
        <x:v>SHP001</x:v>
      </x:c>
      <x:c r="D301" s="112" t="str">
        <x:v>Klarelle Hour Glass Body Shaper</x:v>
      </x:c>
      <x:c r="E301" s="112" t="str">
        <x:v>Shapewear</x:v>
      </x:c>
      <x:c r="F301" s="112" t="str">
        <x:v>Black</x:v>
      </x:c>
      <x:c r="G301" s="146" t="str">
        <x:v>BLK</x:v>
      </x:c>
      <x:c r="H301" s="146" t="str">
        <x:v>XL</x:v>
      </x:c>
      <x:c r="I301" s="147" t="n">
        <x:v>62.99</x:v>
      </x:c>
      <x:c r="J301" s="112" t="str">
        <x:v>US Warehouse</x:v>
      </x:c>
      <x:c r="K301" s="148" t="str"/>
      <x:c r="L301" s="148" t="str"/>
      <x:c r="M301" s="112" t="str">
        <x:v>Published</x:v>
      </x:c>
      <x:c r="N301" s="113" t="str">
        <x:v>https://www.klarelle.store/product/b091bc3b-7933-410b-bd50-7b31977922cd</x:v>
      </x:c>
      <x:c r="O301" s="113" t="str">
        <x:v>Assign NJ bin if physically stocked</x:v>
      </x:c>
      <x:c r="P301" s="112" t="str">
        <x:f>A301</x:f>
        <x:v>KLA-SHP001-BLK-XL</x:v>
      </x:c>
      <x:c r="Q301" s="112" t="str">
        <x:f>IF(COUNTIF($A$9:$A$303,A301)&gt;1,"DUPLICATE","OK")</x:f>
        <x:v>OK</x:v>
      </x:c>
    </x:row>
    <x:row r="302" ht="24" customHeight="1">
      <x:c r="A302" s="144" t="str">
        <x:f>IF(B302&lt;&gt;"",B302,"KLA-"&amp;C302&amp;"-"&amp;G302&amp;"-"&amp;H302)</x:f>
        <x:v>KLA-SHP001-BLK-XS</x:v>
      </x:c>
      <x:c r="B302" s="145" t="str"/>
      <x:c r="C302" s="146" t="str">
        <x:v>SHP001</x:v>
      </x:c>
      <x:c r="D302" s="112" t="str">
        <x:v>Klarelle Hour Glass Body Shaper</x:v>
      </x:c>
      <x:c r="E302" s="112" t="str">
        <x:v>Shapewear</x:v>
      </x:c>
      <x:c r="F302" s="112" t="str">
        <x:v>Black</x:v>
      </x:c>
      <x:c r="G302" s="146" t="str">
        <x:v>BLK</x:v>
      </x:c>
      <x:c r="H302" s="146" t="str">
        <x:v>XS</x:v>
      </x:c>
      <x:c r="I302" s="147" t="n">
        <x:v>62.99</x:v>
      </x:c>
      <x:c r="J302" s="112" t="str">
        <x:v>US Warehouse</x:v>
      </x:c>
      <x:c r="K302" s="148" t="str"/>
      <x:c r="L302" s="148" t="str"/>
      <x:c r="M302" s="112" t="str">
        <x:v>Published</x:v>
      </x:c>
      <x:c r="N302" s="113" t="str">
        <x:v>https://www.klarelle.store/product/b091bc3b-7933-410b-bd50-7b31977922cd</x:v>
      </x:c>
      <x:c r="O302" s="113" t="str">
        <x:v>Assign NJ bin if physically stocked</x:v>
      </x:c>
      <x:c r="P302" s="112" t="str">
        <x:f>A302</x:f>
        <x:v>KLA-SHP001-BLK-XS</x:v>
      </x:c>
      <x:c r="Q302" s="112" t="str">
        <x:f>IF(COUNTIF($A$9:$A$303,A302)&gt;1,"DUPLICATE","OK")</x:f>
        <x:v>OK</x:v>
      </x:c>
    </x:row>
    <x:row r="303" ht="24" customHeight="1">
      <x:c r="A303" s="149" t="str">
        <x:f>IF(B303&lt;&gt;"",B303,"KLA-"&amp;C303&amp;"-"&amp;G303&amp;"-"&amp;H303)</x:f>
        <x:v>KLA-SHP001-BLK-XXL</x:v>
      </x:c>
      <x:c r="B303" s="150" t="str"/>
      <x:c r="C303" s="151" t="str">
        <x:v>SHP001</x:v>
      </x:c>
      <x:c r="D303" s="114" t="str">
        <x:v>Klarelle Hour Glass Body Shaper</x:v>
      </x:c>
      <x:c r="E303" s="114" t="str">
        <x:v>Shapewear</x:v>
      </x:c>
      <x:c r="F303" s="114" t="str">
        <x:v>Black</x:v>
      </x:c>
      <x:c r="G303" s="151" t="str">
        <x:v>BLK</x:v>
      </x:c>
      <x:c r="H303" s="151" t="str">
        <x:v>XXL</x:v>
      </x:c>
      <x:c r="I303" s="152" t="n">
        <x:v>62.99</x:v>
      </x:c>
      <x:c r="J303" s="114" t="str">
        <x:v>US Warehouse</x:v>
      </x:c>
      <x:c r="K303" s="153" t="str"/>
      <x:c r="L303" s="153" t="str"/>
      <x:c r="M303" s="114" t="str">
        <x:v>Published</x:v>
      </x:c>
      <x:c r="N303" s="115" t="str">
        <x:v>https://www.klarelle.store/product/b091bc3b-7933-410b-bd50-7b31977922cd</x:v>
      </x:c>
      <x:c r="O303" s="115" t="str">
        <x:v>Assign NJ bin if physically stocked</x:v>
      </x:c>
      <x:c r="P303" s="114" t="str">
        <x:f>A303</x:f>
        <x:v>KLA-SHP001-BLK-XXL</x:v>
      </x:c>
      <x:c r="Q303" s="114" t="str">
        <x:f>IF(COUNTIF($A$9:$A$303,A303)&gt;1,"DUPLICATE","OK")</x:f>
        <x:v>OK</x:v>
      </x:c>
    </x:row>
  </x:sheetData>
  <x:mergeCells>
    <x:mergeCell ref="A1:Q1"/>
    <x:mergeCell ref="A2:Q2"/>
    <x:mergeCell ref="A4:B4"/>
    <x:mergeCell ref="D4:E4"/>
    <x:mergeCell ref="G4:H4"/>
    <x:mergeCell ref="J4:Q4"/>
    <x:mergeCell ref="A5:B5"/>
    <x:mergeCell ref="D5:E5"/>
    <x:mergeCell ref="G5:H5"/>
    <x:mergeCell ref="J5:Q5"/>
  </x:mergeCells>
  <x:conditionalFormatting sqref="Q9:Q303">
    <x:cfRule type="containsText" dxfId="0" priority="1" operator="containsText" text="DUPLICATE"/>
    <x:cfRule type="containsText" dxfId="1" priority="2" operator="containsText" text="OK"/>
  </x:conditionalFormatting>
  <x:dataValidations count="2">
    <x:dataValidation type="list" sqref="M9:M303">
      <x:formula1>"Published,Published — Sold Out,Legacy — Verify"</x:formula1>
    </x:dataValidation>
    <x:dataValidation type="list" sqref="J9:J303">
      <x:formula1>"US Warehouse,International Warehouse,Needs verification"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a778e3c8eb4c7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25.559999465942383" hidden="0" customWidth="1"/>
    <x:col min="3" max="3" width="10.5600004196167" hidden="0" customWidth="1"/>
    <x:col min="4" max="4" width="9.4399995803833" hidden="0" customWidth="1"/>
    <x:col min="5" max="5" width="10.5600004196167" hidden="0" customWidth="1"/>
    <x:col min="6" max="6" width="28.889999389648438" hidden="0" customWidth="1"/>
    <x:col min="7" max="7" width="14.4399995803833" hidden="0" customWidth="1"/>
    <x:col min="8" max="8" width="15.5600004196167" hidden="0" customWidth="1"/>
    <x:col min="9" max="9" width="36.66999816894531" hidden="0" customWidth="1"/>
  </x:cols>
  <x:sheetData>
    <x:row r="1" ht="30" customHeight="1">
      <x:c r="A1" s="106" t="str">
        <x:v>KLARELLE STYLE REGISTER</x:v>
      </x:c>
      <x:c r="B1" s="106"/>
      <x:c r="C1" s="106"/>
      <x:c r="D1" s="106"/>
      <x:c r="E1" s="106"/>
      <x:c r="F1" s="106"/>
      <x:c r="G1" s="106"/>
      <x:c r="H1" s="106"/>
      <x:c r="I1" s="106"/>
    </x:row>
    <x:row r="2" ht="22" customHeight="1">
      <x:c r="A2" s="107" t="str">
        <x:v>One permanent style code per published product. D008 is Dress #8 in the master.</x:v>
      </x:c>
      <x:c r="B2" s="107"/>
      <x:c r="C2" s="107"/>
      <x:c r="D2" s="107"/>
      <x:c r="E2" s="107"/>
      <x:c r="F2" s="107"/>
      <x:c r="G2" s="107"/>
      <x:c r="H2" s="107"/>
      <x:c r="I2" s="107"/>
    </x:row>
    <x:row r="3">
      <x:c r="A3" s="108"/>
      <x:c r="B3" s="108"/>
      <x:c r="C3" s="108"/>
      <x:c r="D3" s="108"/>
      <x:c r="E3" s="108"/>
      <x:c r="F3" s="108"/>
      <x:c r="G3" s="108"/>
      <x:c r="H3" s="108"/>
      <x:c r="I3" s="108"/>
    </x:row>
    <x:row r="4" ht="34" customHeight="1">
      <x:c r="A4" s="109" t="str">
        <x:v>Style Code</x:v>
      </x:c>
      <x:c r="B4" s="109" t="str">
        <x:v>Published Style Name</x:v>
      </x:c>
      <x:c r="C4" s="109" t="str">
        <x:v>Product Type</x:v>
      </x:c>
      <x:c r="D4" s="109" t="str">
        <x:v>Status</x:v>
      </x:c>
      <x:c r="E4" s="109" t="str">
        <x:v>Published Order</x:v>
      </x:c>
      <x:c r="F4" s="109" t="str">
        <x:v>Published Colors</x:v>
      </x:c>
      <x:c r="G4" s="109" t="str">
        <x:v>Published Sizes</x:v>
      </x:c>
      <x:c r="H4" s="109" t="str">
        <x:v>Fulfillment Source</x:v>
      </x:c>
      <x:c r="I4" s="109" t="str">
        <x:v>Product URL</x:v>
      </x:c>
    </x:row>
    <x:row r="5">
      <x:c r="A5" s="110" t="str">
        <x:v>D001</x:v>
      </x:c>
      <x:c r="B5" s="110" t="str">
        <x:v>Mia-Analise Gown</x:v>
      </x:c>
      <x:c r="C5" s="110" t="str">
        <x:v>Dress</x:v>
      </x:c>
      <x:c r="D5" s="110" t="str">
        <x:v>Published</x:v>
      </x:c>
      <x:c r="E5" s="110" t="n">
        <x:v>14</x:v>
      </x:c>
      <x:c r="F5" s="111" t="str">
        <x:v>Black</x:v>
      </x:c>
      <x:c r="G5" s="111" t="str">
        <x:v>S, M, L, XL</x:v>
      </x:c>
      <x:c r="H5" s="111" t="str">
        <x:v>International Warehouse</x:v>
      </x:c>
      <x:c r="I5" s="111" t="str">
        <x:v>https://www.klarelle.store/product/c89a95e7-605d-4f09-a96b-6aec78d7b1bc</x:v>
      </x:c>
    </x:row>
    <x:row r="6">
      <x:c r="A6" s="112" t="str">
        <x:v>D002</x:v>
      </x:c>
      <x:c r="B6" s="112" t="str">
        <x:v>Estrallia Fringe Gown</x:v>
      </x:c>
      <x:c r="C6" s="112" t="str">
        <x:v>Dress</x:v>
      </x:c>
      <x:c r="D6" s="112" t="str">
        <x:v>Published</x:v>
      </x:c>
      <x:c r="E6" s="112" t="n">
        <x:v>57</x:v>
      </x:c>
      <x:c r="F6" s="113" t="str">
        <x:v>Cream</x:v>
      </x:c>
      <x:c r="G6" s="113" t="str">
        <x:v>M, L, XL</x:v>
      </x:c>
      <x:c r="H6" s="113" t="str">
        <x:v>International Warehouse</x:v>
      </x:c>
      <x:c r="I6" s="113" t="str">
        <x:v>https://www.klarelle.store/product/418334d5-4109-4f27-8285-c1f68b3851bd</x:v>
      </x:c>
    </x:row>
    <x:row r="7">
      <x:c r="A7" s="112" t="str">
        <x:v>D003</x:v>
      </x:c>
      <x:c r="B7" s="112" t="str">
        <x:v>Zarellia Rhinestone Gown</x:v>
      </x:c>
      <x:c r="C7" s="112" t="str">
        <x:v>Dress</x:v>
      </x:c>
      <x:c r="D7" s="112" t="str">
        <x:v>Published</x:v>
      </x:c>
      <x:c r="E7" s="112" t="n">
        <x:v>56</x:v>
      </x:c>
      <x:c r="F7" s="113" t="str">
        <x:v>Gold</x:v>
      </x:c>
      <x:c r="G7" s="113" t="str">
        <x:v>S, M</x:v>
      </x:c>
      <x:c r="H7" s="113" t="str">
        <x:v>International Warehouse</x:v>
      </x:c>
      <x:c r="I7" s="113" t="str">
        <x:v>https://www.klarelle.store/product/c8d05302-dc58-485e-9e01-c855c4c5a091</x:v>
      </x:c>
    </x:row>
    <x:row r="8">
      <x:c r="A8" s="112" t="str">
        <x:v>D004</x:v>
      </x:c>
      <x:c r="B8" s="112" t="str">
        <x:v>Elaria Rouge Gown</x:v>
      </x:c>
      <x:c r="C8" s="112" t="str">
        <x:v>Dress</x:v>
      </x:c>
      <x:c r="D8" s="112" t="str">
        <x:v>Published</x:v>
      </x:c>
      <x:c r="E8" s="112" t="n">
        <x:v>53</x:v>
      </x:c>
      <x:c r="F8" s="113" t="str">
        <x:v>Wine</x:v>
      </x:c>
      <x:c r="G8" s="113" t="str">
        <x:v>S, M, L, XL</x:v>
      </x:c>
      <x:c r="H8" s="113" t="str">
        <x:v>International Warehouse</x:v>
      </x:c>
      <x:c r="I8" s="113" t="str">
        <x:v>https://www.klarelle.store/product/b5fd8cbb-8295-4e44-b24d-294ee576965d</x:v>
      </x:c>
    </x:row>
    <x:row r="9">
      <x:c r="A9" s="112" t="str">
        <x:v>D005</x:v>
      </x:c>
      <x:c r="B9" s="112" t="str">
        <x:v>Elianna Cherise Gown</x:v>
      </x:c>
      <x:c r="C9" s="112" t="str">
        <x:v>Dress</x:v>
      </x:c>
      <x:c r="D9" s="112" t="str">
        <x:v>Published</x:v>
      </x:c>
      <x:c r="E9" s="112" t="n">
        <x:v>45</x:v>
      </x:c>
      <x:c r="F9" s="113" t="str">
        <x:v>Sea Blue</x:v>
      </x:c>
      <x:c r="G9" s="113" t="str">
        <x:v>S, M, L, XL</x:v>
      </x:c>
      <x:c r="H9" s="113" t="str">
        <x:v>International Warehouse</x:v>
      </x:c>
      <x:c r="I9" s="113" t="str">
        <x:v>https://www.klarelle.store/product/6db22c38-669f-4539-a7c4-3d70f087cc54</x:v>
      </x:c>
    </x:row>
    <x:row r="10">
      <x:c r="A10" s="112" t="str">
        <x:v>D006</x:v>
      </x:c>
      <x:c r="B10" s="112" t="str">
        <x:v>Zanera Noir Gown</x:v>
      </x:c>
      <x:c r="C10" s="112" t="str">
        <x:v>Dress</x:v>
      </x:c>
      <x:c r="D10" s="112" t="str">
        <x:v>Published</x:v>
      </x:c>
      <x:c r="E10" s="112" t="n">
        <x:v>34</x:v>
      </x:c>
      <x:c r="F10" s="113" t="str">
        <x:v>Black</x:v>
      </x:c>
      <x:c r="G10" s="113" t="str">
        <x:v>M, L</x:v>
      </x:c>
      <x:c r="H10" s="113" t="str">
        <x:v>US Warehouse</x:v>
      </x:c>
      <x:c r="I10" s="113" t="str">
        <x:v>https://www.klarelle.store/product/19dddefa-9416-450e-b390-002275e418ee</x:v>
      </x:c>
    </x:row>
    <x:row r="11">
      <x:c r="A11" s="112" t="str">
        <x:v>D007</x:v>
      </x:c>
      <x:c r="B11" s="112" t="str">
        <x:v>Elaria Blanche Dress</x:v>
      </x:c>
      <x:c r="C11" s="112" t="str">
        <x:v>Dress</x:v>
      </x:c>
      <x:c r="D11" s="112" t="str">
        <x:v>Published</x:v>
      </x:c>
      <x:c r="E11" s="112" t="n">
        <x:v>35</x:v>
      </x:c>
      <x:c r="F11" s="113" t="str">
        <x:v>White</x:v>
      </x:c>
      <x:c r="G11" s="113" t="str">
        <x:v>S, M, L, XL</x:v>
      </x:c>
      <x:c r="H11" s="113" t="str">
        <x:v>US Warehouse</x:v>
      </x:c>
      <x:c r="I11" s="113" t="str">
        <x:v>https://www.klarelle.store/product/e8ea3e84-6c63-405a-aa49-6b82eaf32d6b</x:v>
      </x:c>
    </x:row>
    <x:row r="12">
      <x:c r="A12" s="112" t="str">
        <x:v>D008</x:v>
      </x:c>
      <x:c r="B12" s="112" t="str">
        <x:v>Elaris heavy Crystal Gown</x:v>
      </x:c>
      <x:c r="C12" s="112" t="str">
        <x:v>Dress</x:v>
      </x:c>
      <x:c r="D12" s="112" t="str">
        <x:v>Published</x:v>
      </x:c>
      <x:c r="E12" s="112" t="n">
        <x:v>1</x:v>
      </x:c>
      <x:c r="F12" s="113" t="str">
        <x:v>Black, Red</x:v>
      </x:c>
      <x:c r="G12" s="113" t="str">
        <x:v>S, M, L, XL</x:v>
      </x:c>
      <x:c r="H12" s="113" t="str">
        <x:v>International Warehouse</x:v>
      </x:c>
      <x:c r="I12" s="113" t="str">
        <x:v>https://www.klarelle.store/product/643cd073-1733-4c20-8044-daea0f03f711</x:v>
      </x:c>
    </x:row>
    <x:row r="13">
      <x:c r="A13" s="112" t="str">
        <x:v>D009</x:v>
      </x:c>
      <x:c r="B13" s="112" t="str">
        <x:v>Kelly Fringe Dress</x:v>
      </x:c>
      <x:c r="C13" s="112" t="str">
        <x:v>Dress</x:v>
      </x:c>
      <x:c r="D13" s="112" t="str">
        <x:v>Published</x:v>
      </x:c>
      <x:c r="E13" s="112" t="n">
        <x:v>2</x:v>
      </x:c>
      <x:c r="F13" s="113" t="str">
        <x:v>Gold</x:v>
      </x:c>
      <x:c r="G13" s="113" t="str">
        <x:v>S, M, L, XL</x:v>
      </x:c>
      <x:c r="H13" s="113" t="str">
        <x:v>International Warehouse</x:v>
      </x:c>
      <x:c r="I13" s="113" t="str">
        <x:v>https://www.klarelle.store/product/2b5dc385-0f58-47ed-9c20-74be2ab0b138</x:v>
      </x:c>
    </x:row>
    <x:row r="14">
      <x:c r="A14" s="112" t="str">
        <x:v>D010</x:v>
      </x:c>
      <x:c r="B14" s="112" t="str">
        <x:v>Valencia Crystal Gown</x:v>
      </x:c>
      <x:c r="C14" s="112" t="str">
        <x:v>Dress</x:v>
      </x:c>
      <x:c r="D14" s="112" t="str">
        <x:v>Published</x:v>
      </x:c>
      <x:c r="E14" s="112" t="n">
        <x:v>3</x:v>
      </x:c>
      <x:c r="F14" s="113" t="str">
        <x:v>Orange</x:v>
      </x:c>
      <x:c r="G14" s="113" t="str">
        <x:v>S, M, L, XL</x:v>
      </x:c>
      <x:c r="H14" s="113" t="str">
        <x:v>International Warehouse</x:v>
      </x:c>
      <x:c r="I14" s="113" t="str">
        <x:v>https://www.klarelle.store/product/aa82c676-fd35-4f74-a4c5-5729552cf4c5</x:v>
      </x:c>
    </x:row>
    <x:row r="15">
      <x:c r="A15" s="112" t="str">
        <x:v>D011</x:v>
      </x:c>
      <x:c r="B15" s="112" t="str">
        <x:v>Lia Crystal Gown</x:v>
      </x:c>
      <x:c r="C15" s="112" t="str">
        <x:v>Dress</x:v>
      </x:c>
      <x:c r="D15" s="112" t="str">
        <x:v>Published</x:v>
      </x:c>
      <x:c r="E15" s="112" t="n">
        <x:v>4</x:v>
      </x:c>
      <x:c r="F15" s="113" t="str">
        <x:v>Blue</x:v>
      </x:c>
      <x:c r="G15" s="113" t="str">
        <x:v>S, M, L, XL</x:v>
      </x:c>
      <x:c r="H15" s="113" t="str">
        <x:v>International Warehouse</x:v>
      </x:c>
      <x:c r="I15" s="113" t="str">
        <x:v>https://www.klarelle.store/product/d3b7c174-6eff-4a3f-b1f2-843b935a04bf</x:v>
      </x:c>
    </x:row>
    <x:row r="16">
      <x:c r="A16" s="112" t="str">
        <x:v>D012</x:v>
      </x:c>
      <x:c r="B16" s="112" t="str">
        <x:v>Rosélle Ruffle Gown</x:v>
      </x:c>
      <x:c r="C16" s="112" t="str">
        <x:v>Dress</x:v>
      </x:c>
      <x:c r="D16" s="112" t="str">
        <x:v>Published</x:v>
      </x:c>
      <x:c r="E16" s="112" t="n">
        <x:v>5</x:v>
      </x:c>
      <x:c r="F16" s="113" t="str">
        <x:v>Pink</x:v>
      </x:c>
      <x:c r="G16" s="113" t="str">
        <x:v>S, M, L, XL</x:v>
      </x:c>
      <x:c r="H16" s="113" t="str">
        <x:v>International Warehouse</x:v>
      </x:c>
      <x:c r="I16" s="113" t="str">
        <x:v>https://www.klarelle.store/product/062e8d36-c926-4114-a4ee-d709268ef6d0</x:v>
      </x:c>
    </x:row>
    <x:row r="17">
      <x:c r="A17" s="112" t="str">
        <x:v>D013</x:v>
      </x:c>
      <x:c r="B17" s="112" t="str">
        <x:v>Maison Fleur Gown</x:v>
      </x:c>
      <x:c r="C17" s="112" t="str">
        <x:v>Dress</x:v>
      </x:c>
      <x:c r="D17" s="112" t="str">
        <x:v>Published</x:v>
      </x:c>
      <x:c r="E17" s="112" t="n">
        <x:v>6</x:v>
      </x:c>
      <x:c r="F17" s="113" t="str">
        <x:v>Brown</x:v>
      </x:c>
      <x:c r="G17" s="113" t="str">
        <x:v>S, M, L, XL</x:v>
      </x:c>
      <x:c r="H17" s="113" t="str">
        <x:v>International Warehouse</x:v>
      </x:c>
      <x:c r="I17" s="113" t="str">
        <x:v>https://www.klarelle.store/product/c5b2a9b3-0009-4c71-af63-cc4a0784638f</x:v>
      </x:c>
    </x:row>
    <x:row r="18">
      <x:c r="A18" s="112" t="str">
        <x:v>D014</x:v>
      </x:c>
      <x:c r="B18" s="112" t="str">
        <x:v>Rosé Valentina Gown</x:v>
      </x:c>
      <x:c r="C18" s="112" t="str">
        <x:v>Dress</x:v>
      </x:c>
      <x:c r="D18" s="112" t="str">
        <x:v>Published</x:v>
      </x:c>
      <x:c r="E18" s="112" t="n">
        <x:v>7</x:v>
      </x:c>
      <x:c r="F18" s="113" t="str">
        <x:v>Crimson</x:v>
      </x:c>
      <x:c r="G18" s="113" t="str">
        <x:v>S, M, L, XL</x:v>
      </x:c>
      <x:c r="H18" s="113" t="str">
        <x:v>International Warehouse</x:v>
      </x:c>
      <x:c r="I18" s="113" t="str">
        <x:v>https://www.klarelle.store/product/e620a02d-2596-426a-9754-9dc0ebd8ad3d</x:v>
      </x:c>
    </x:row>
    <x:row r="19">
      <x:c r="A19" s="112" t="str">
        <x:v>D015</x:v>
      </x:c>
      <x:c r="B19" s="112" t="str">
        <x:v>Mel Dress</x:v>
      </x:c>
      <x:c r="C19" s="112" t="str">
        <x:v>Dress</x:v>
      </x:c>
      <x:c r="D19" s="112" t="str">
        <x:v>Published</x:v>
      </x:c>
      <x:c r="E19" s="112" t="n">
        <x:v>8</x:v>
      </x:c>
      <x:c r="F19" s="113" t="str">
        <x:v>Black</x:v>
      </x:c>
      <x:c r="G19" s="113" t="str">
        <x:v>S, M, L, XL</x:v>
      </x:c>
      <x:c r="H19" s="113" t="str">
        <x:v>International Warehouse</x:v>
      </x:c>
      <x:c r="I19" s="113" t="str">
        <x:v>https://www.klarelle.store/product/45c1dd65-d461-4cf5-bc25-dd974598bbc9</x:v>
      </x:c>
    </x:row>
    <x:row r="20">
      <x:c r="A20" s="112" t="str">
        <x:v>D016</x:v>
      </x:c>
      <x:c r="B20" s="112" t="str">
        <x:v>Anne Marie Fringe Dress</x:v>
      </x:c>
      <x:c r="C20" s="112" t="str">
        <x:v>Dress</x:v>
      </x:c>
      <x:c r="D20" s="112" t="str">
        <x:v>Published</x:v>
      </x:c>
      <x:c r="E20" s="112" t="n">
        <x:v>9</x:v>
      </x:c>
      <x:c r="F20" s="113" t="str">
        <x:v>Gold</x:v>
      </x:c>
      <x:c r="G20" s="113" t="str">
        <x:v>S, M, L, XL</x:v>
      </x:c>
      <x:c r="H20" s="113" t="str">
        <x:v>International Warehouse</x:v>
      </x:c>
      <x:c r="I20" s="113" t="str">
        <x:v>https://www.klarelle.store/product/9e48b6ed-4868-4a4c-a96d-13dbcec9089e</x:v>
      </x:c>
    </x:row>
    <x:row r="21">
      <x:c r="A21" s="112" t="str">
        <x:v>D017</x:v>
      </x:c>
      <x:c r="B21" s="112" t="str">
        <x:v>Elia Fringe Dress</x:v>
      </x:c>
      <x:c r="C21" s="112" t="str">
        <x:v>Dress</x:v>
      </x:c>
      <x:c r="D21" s="112" t="str">
        <x:v>Published</x:v>
      </x:c>
      <x:c r="E21" s="112" t="n">
        <x:v>10</x:v>
      </x:c>
      <x:c r="F21" s="113" t="str">
        <x:v>Pink, Grey</x:v>
      </x:c>
      <x:c r="G21" s="113" t="str">
        <x:v>S, M, L, XL</x:v>
      </x:c>
      <x:c r="H21" s="113" t="str">
        <x:v>International Warehouse</x:v>
      </x:c>
      <x:c r="I21" s="113" t="str">
        <x:v>https://www.klarelle.store/product/c104abbe-87a2-4e0a-9be3-4fe13f06cfdf</x:v>
      </x:c>
    </x:row>
    <x:row r="22">
      <x:c r="A22" s="112" t="str">
        <x:v>D018</x:v>
      </x:c>
      <x:c r="B22" s="112" t="str">
        <x:v>Valenne Fringe Gown</x:v>
      </x:c>
      <x:c r="C22" s="112" t="str">
        <x:v>Dress</x:v>
      </x:c>
      <x:c r="D22" s="112" t="str">
        <x:v>Published</x:v>
      </x:c>
      <x:c r="E22" s="112" t="n">
        <x:v>11</x:v>
      </x:c>
      <x:c r="F22" s="113" t="str">
        <x:v>Blue</x:v>
      </x:c>
      <x:c r="G22" s="113" t="str">
        <x:v>S, M, L, XL</x:v>
      </x:c>
      <x:c r="H22" s="113" t="str">
        <x:v>International Warehouse</x:v>
      </x:c>
      <x:c r="I22" s="113" t="str">
        <x:v>https://www.klarelle.store/product/9d845795-105a-4e71-a2fe-521fb5f82581</x:v>
      </x:c>
    </x:row>
    <x:row r="23">
      <x:c r="A23" s="112" t="str">
        <x:v>D019</x:v>
      </x:c>
      <x:c r="B23" s="112" t="str">
        <x:v>Lana Fringe Dress</x:v>
      </x:c>
      <x:c r="C23" s="112" t="str">
        <x:v>Dress</x:v>
      </x:c>
      <x:c r="D23" s="112" t="str">
        <x:v>Published</x:v>
      </x:c>
      <x:c r="E23" s="112" t="n">
        <x:v>12</x:v>
      </x:c>
      <x:c r="F23" s="113" t="str">
        <x:v>Pink, Gold</x:v>
      </x:c>
      <x:c r="G23" s="113" t="str">
        <x:v>S, M, L, XL</x:v>
      </x:c>
      <x:c r="H23" s="113" t="str">
        <x:v>International Warehouse</x:v>
      </x:c>
      <x:c r="I23" s="113" t="str">
        <x:v>https://www.klarelle.store/product/8e08676c-84b6-4d62-bfa8-b7806555aff8</x:v>
      </x:c>
    </x:row>
    <x:row r="24">
      <x:c r="A24" s="112" t="str">
        <x:v>D020</x:v>
      </x:c>
      <x:c r="B24" s="112" t="str">
        <x:v>Malia Crystal Halter Gown</x:v>
      </x:c>
      <x:c r="C24" s="112" t="str">
        <x:v>Dress</x:v>
      </x:c>
      <x:c r="D24" s="112" t="str">
        <x:v>Published</x:v>
      </x:c>
      <x:c r="E24" s="112" t="n">
        <x:v>13</x:v>
      </x:c>
      <x:c r="F24" s="113" t="str">
        <x:v>Black</x:v>
      </x:c>
      <x:c r="G24" s="113" t="str">
        <x:v>S, M, L, XL</x:v>
      </x:c>
      <x:c r="H24" s="113" t="str">
        <x:v>International Warehouse</x:v>
      </x:c>
      <x:c r="I24" s="113" t="str">
        <x:v>https://www.klarelle.store/product/1d3d06ac-1afd-4cec-9b81-8c044cba7e4e</x:v>
      </x:c>
    </x:row>
    <x:row r="25">
      <x:c r="A25" s="112" t="str">
        <x:v>D021</x:v>
      </x:c>
      <x:c r="B25" s="112" t="str">
        <x:v>Pearl Blush Siren</x:v>
      </x:c>
      <x:c r="C25" s="112" t="str">
        <x:v>Dress</x:v>
      </x:c>
      <x:c r="D25" s="112" t="str">
        <x:v>Published</x:v>
      </x:c>
      <x:c r="E25" s="112" t="n">
        <x:v>15</x:v>
      </x:c>
      <x:c r="F25" s="113" t="str">
        <x:v>Pink</x:v>
      </x:c>
      <x:c r="G25" s="113" t="str">
        <x:v>S, M, L, XL</x:v>
      </x:c>
      <x:c r="H25" s="113" t="str">
        <x:v>International Warehouse</x:v>
      </x:c>
      <x:c r="I25" s="113" t="str">
        <x:v>https://www.klarelle.store/product/0a46ce7e-12a3-49ab-9945-4d9f2d0722a0</x:v>
      </x:c>
    </x:row>
    <x:row r="26">
      <x:c r="A26" s="112" t="str">
        <x:v>D022</x:v>
      </x:c>
      <x:c r="B26" s="112" t="str">
        <x:v>Sunlit Bow Reverie</x:v>
      </x:c>
      <x:c r="C26" s="112" t="str">
        <x:v>Dress</x:v>
      </x:c>
      <x:c r="D26" s="112" t="str">
        <x:v>Published</x:v>
      </x:c>
      <x:c r="E26" s="112" t="n">
        <x:v>16</x:v>
      </x:c>
      <x:c r="F26" s="113" t="str">
        <x:v>Yellow</x:v>
      </x:c>
      <x:c r="G26" s="113" t="str">
        <x:v>S, M, L, XL</x:v>
      </x:c>
      <x:c r="H26" s="113" t="str">
        <x:v>International Warehouse</x:v>
      </x:c>
      <x:c r="I26" s="113" t="str">
        <x:v>https://www.klarelle.store/product/6c78dbcd-9630-46f7-ba68-71a656276baf</x:v>
      </x:c>
    </x:row>
    <x:row r="27">
      <x:c r="A27" s="112" t="str">
        <x:v>D023</x:v>
      </x:c>
      <x:c r="B27" s="112" t="str">
        <x:v>Rosé Ruffle Muse</x:v>
      </x:c>
      <x:c r="C27" s="112" t="str">
        <x:v>Dress</x:v>
      </x:c>
      <x:c r="D27" s="112" t="str">
        <x:v>Published</x:v>
      </x:c>
      <x:c r="E27" s="112" t="n">
        <x:v>17</x:v>
      </x:c>
      <x:c r="F27" s="113" t="str">
        <x:v>Pink</x:v>
      </x:c>
      <x:c r="G27" s="113" t="str">
        <x:v>S, M, L, XL</x:v>
      </x:c>
      <x:c r="H27" s="113" t="str">
        <x:v>International Warehouse</x:v>
      </x:c>
      <x:c r="I27" s="113" t="str">
        <x:v>https://www.klarelle.store/product/0ef0d62b-0ceb-4a39-90b3-265d8a173c9b</x:v>
      </x:c>
    </x:row>
    <x:row r="28">
      <x:c r="A28" s="112" t="str">
        <x:v>D024</x:v>
      </x:c>
      <x:c r="B28" s="112" t="str">
        <x:v>Golden Prism Royale</x:v>
      </x:c>
      <x:c r="C28" s="112" t="str">
        <x:v>Dress</x:v>
      </x:c>
      <x:c r="D28" s="112" t="str">
        <x:v>Published</x:v>
      </x:c>
      <x:c r="E28" s="112" t="n">
        <x:v>18</x:v>
      </x:c>
      <x:c r="F28" s="113" t="str">
        <x:v>Gold</x:v>
      </x:c>
      <x:c r="G28" s="113" t="str">
        <x:v>S, M, L, XL</x:v>
      </x:c>
      <x:c r="H28" s="113" t="str">
        <x:v>International Warehouse</x:v>
      </x:c>
      <x:c r="I28" s="113" t="str">
        <x:v>https://www.klarelle.store/product/72d17281-fcef-4087-83d7-6f03fb75720b</x:v>
      </x:c>
    </x:row>
    <x:row r="29">
      <x:c r="A29" s="112" t="str">
        <x:v>D025</x:v>
      </x:c>
      <x:c r="B29" s="112" t="str">
        <x:v>Gilded Cascade Royale</x:v>
      </x:c>
      <x:c r="C29" s="112" t="str">
        <x:v>Dress</x:v>
      </x:c>
      <x:c r="D29" s="112" t="str">
        <x:v>Published</x:v>
      </x:c>
      <x:c r="E29" s="112" t="n">
        <x:v>19</x:v>
      </x:c>
      <x:c r="F29" s="113" t="str">
        <x:v>Gold</x:v>
      </x:c>
      <x:c r="G29" s="113" t="str">
        <x:v>M, L, XL</x:v>
      </x:c>
      <x:c r="H29" s="113" t="str">
        <x:v>International Warehouse</x:v>
      </x:c>
      <x:c r="I29" s="113" t="str">
        <x:v>https://www.klarelle.store/product/d6ffeaf0-ea48-4610-8b2d-d73e2e1b728a</x:v>
      </x:c>
    </x:row>
    <x:row r="30">
      <x:c r="A30" s="112" t="str">
        <x:v>D026</x:v>
      </x:c>
      <x:c r="B30" s="112" t="str">
        <x:v>Luxurelle Royal Ember</x:v>
      </x:c>
      <x:c r="C30" s="112" t="str">
        <x:v>Dress</x:v>
      </x:c>
      <x:c r="D30" s="112" t="str">
        <x:v>Published</x:v>
      </x:c>
      <x:c r="E30" s="112" t="n">
        <x:v>20</x:v>
      </x:c>
      <x:c r="F30" s="113" t="str">
        <x:v>Red And White</x:v>
      </x:c>
      <x:c r="G30" s="113" t="str">
        <x:v>M, L, XL</x:v>
      </x:c>
      <x:c r="H30" s="113" t="str">
        <x:v>International Warehouse</x:v>
      </x:c>
      <x:c r="I30" s="113" t="str">
        <x:v>https://www.klarelle.store/product/39f1a705-5282-42b4-981b-4bf6554cca57</x:v>
      </x:c>
    </x:row>
    <x:row r="31">
      <x:c r="A31" s="112" t="str">
        <x:v>D027</x:v>
      </x:c>
      <x:c r="B31" s="112" t="str">
        <x:v>Liana Rhinestone Dress</x:v>
      </x:c>
      <x:c r="C31" s="112" t="str">
        <x:v>Dress</x:v>
      </x:c>
      <x:c r="D31" s="112" t="str">
        <x:v>Published</x:v>
      </x:c>
      <x:c r="E31" s="112" t="n">
        <x:v>21</x:v>
      </x:c>
      <x:c r="F31" s="113" t="str">
        <x:v>Light Blue, Baby Pink, Blue, Violet</x:v>
      </x:c>
      <x:c r="G31" s="113" t="str">
        <x:v>M, L</x:v>
      </x:c>
      <x:c r="H31" s="113" t="str">
        <x:v>US Warehouse</x:v>
      </x:c>
      <x:c r="I31" s="113" t="str">
        <x:v>https://www.klarelle.store/product/720a81a2-126e-446c-af0a-448763fe2444</x:v>
      </x:c>
    </x:row>
    <x:row r="32">
      <x:c r="A32" s="112" t="str">
        <x:v>D028</x:v>
      </x:c>
      <x:c r="B32" s="112" t="str">
        <x:v>Solenne Petal Gown</x:v>
      </x:c>
      <x:c r="C32" s="112" t="str">
        <x:v>Dress</x:v>
      </x:c>
      <x:c r="D32" s="112" t="str">
        <x:v>Published</x:v>
      </x:c>
      <x:c r="E32" s="112" t="n">
        <x:v>23</x:v>
      </x:c>
      <x:c r="F32" s="113" t="str">
        <x:v>Multi</x:v>
      </x:c>
      <x:c r="G32" s="113" t="str">
        <x:v>M, L, XL</x:v>
      </x:c>
      <x:c r="H32" s="113" t="str">
        <x:v>US Warehouse</x:v>
      </x:c>
      <x:c r="I32" s="113" t="str">
        <x:v>https://www.klarelle.store/product/75700d5a-9915-4552-bc92-fecabf79842b</x:v>
      </x:c>
    </x:row>
    <x:row r="33">
      <x:c r="A33" s="112" t="str">
        <x:v>D029</x:v>
      </x:c>
      <x:c r="B33" s="112" t="str">
        <x:v>Elaris Mini Crystal Gown</x:v>
      </x:c>
      <x:c r="C33" s="112" t="str">
        <x:v>Dress</x:v>
      </x:c>
      <x:c r="D33" s="112" t="str">
        <x:v>Published</x:v>
      </x:c>
      <x:c r="E33" s="112" t="n">
        <x:v>24</x:v>
      </x:c>
      <x:c r="F33" s="113" t="str">
        <x:v>Black</x:v>
      </x:c>
      <x:c r="G33" s="113" t="str">
        <x:v>S, M, L, XL</x:v>
      </x:c>
      <x:c r="H33" s="113" t="str">
        <x:v>International Warehouse</x:v>
      </x:c>
      <x:c r="I33" s="113" t="str">
        <x:v>https://www.klarelle.store/product/0c344176-2b62-429d-ba1f-6fa08f86a4d6</x:v>
      </x:c>
    </x:row>
    <x:row r="34">
      <x:c r="A34" s="112" t="str">
        <x:v>D030</x:v>
      </x:c>
      <x:c r="B34" s="112" t="str">
        <x:v>Zavielle Luxe Gown</x:v>
      </x:c>
      <x:c r="C34" s="112" t="str">
        <x:v>Dress</x:v>
      </x:c>
      <x:c r="D34" s="112" t="str">
        <x:v>Published</x:v>
      </x:c>
      <x:c r="E34" s="112" t="n">
        <x:v>25</x:v>
      </x:c>
      <x:c r="F34" s="113" t="str">
        <x:v>Black And White</x:v>
      </x:c>
      <x:c r="G34" s="113" t="str">
        <x:v>M, L, XL</x:v>
      </x:c>
      <x:c r="H34" s="113" t="str">
        <x:v>International Warehouse</x:v>
      </x:c>
      <x:c r="I34" s="113" t="str">
        <x:v>https://www.klarelle.store/product/8112ca17-b150-40af-9b40-80d3b25b9f49</x:v>
      </x:c>
    </x:row>
    <x:row r="35">
      <x:c r="A35" s="112" t="str">
        <x:v>D031</x:v>
      </x:c>
      <x:c r="B35" s="112" t="str">
        <x:v>Éloria Noir Gown</x:v>
      </x:c>
      <x:c r="C35" s="112" t="str">
        <x:v>Dress</x:v>
      </x:c>
      <x:c r="D35" s="112" t="str">
        <x:v>Published</x:v>
      </x:c>
      <x:c r="E35" s="112" t="n">
        <x:v>26</x:v>
      </x:c>
      <x:c r="F35" s="113" t="str">
        <x:v>Black</x:v>
      </x:c>
      <x:c r="G35" s="113" t="str">
        <x:v>OS</x:v>
      </x:c>
      <x:c r="H35" s="113" t="str">
        <x:v>US Warehouse</x:v>
      </x:c>
      <x:c r="I35" s="113" t="str">
        <x:v>https://www.klarelle.store/product/3e788514-5177-420b-8409-05681f538e4f</x:v>
      </x:c>
    </x:row>
    <x:row r="36">
      <x:c r="A36" s="112" t="str">
        <x:v>D032</x:v>
      </x:c>
      <x:c r="B36" s="112" t="str">
        <x:v>Veloura Noir Gown</x:v>
      </x:c>
      <x:c r="C36" s="112" t="str">
        <x:v>Dress</x:v>
      </x:c>
      <x:c r="D36" s="112" t="str">
        <x:v>Published</x:v>
      </x:c>
      <x:c r="E36" s="112" t="n">
        <x:v>27</x:v>
      </x:c>
      <x:c r="F36" s="113" t="str">
        <x:v>Black</x:v>
      </x:c>
      <x:c r="G36" s="113" t="str">
        <x:v>S, M, L</x:v>
      </x:c>
      <x:c r="H36" s="113" t="str">
        <x:v>US Warehouse</x:v>
      </x:c>
      <x:c r="I36" s="113" t="str">
        <x:v>https://www.klarelle.store/product/02313c24-5278-4e67-9b9c-8472db80403d</x:v>
      </x:c>
    </x:row>
    <x:row r="37">
      <x:c r="A37" s="112" t="str">
        <x:v>D033</x:v>
      </x:c>
      <x:c r="B37" s="112" t="str">
        <x:v>Fleur de Roselle Dress</x:v>
      </x:c>
      <x:c r="C37" s="112" t="str">
        <x:v>Dress</x:v>
      </x:c>
      <x:c r="D37" s="112" t="str">
        <x:v>Published</x:v>
      </x:c>
      <x:c r="E37" s="112" t="n">
        <x:v>28</x:v>
      </x:c>
      <x:c r="F37" s="113" t="str">
        <x:v>Pink</x:v>
      </x:c>
      <x:c r="G37" s="113" t="str">
        <x:v>S, M, L, XL</x:v>
      </x:c>
      <x:c r="H37" s="113" t="str">
        <x:v>International Warehouse</x:v>
      </x:c>
      <x:c r="I37" s="113" t="str">
        <x:v>https://www.klarelle.store/product/c3aea17a-e59b-4084-9b45-e934e99582ad</x:v>
      </x:c>
    </x:row>
    <x:row r="38">
      <x:c r="A38" s="112" t="str">
        <x:v>D034</x:v>
      </x:c>
      <x:c r="B38" s="112" t="str">
        <x:v>Zaina Cascade Gown</x:v>
      </x:c>
      <x:c r="C38" s="112" t="str">
        <x:v>Dress</x:v>
      </x:c>
      <x:c r="D38" s="112" t="str">
        <x:v>Published</x:v>
      </x:c>
      <x:c r="E38" s="112" t="n">
        <x:v>29</x:v>
      </x:c>
      <x:c r="F38" s="113" t="str">
        <x:v>Blue, Pink</x:v>
      </x:c>
      <x:c r="G38" s="113" t="str">
        <x:v>S, M, L, XL</x:v>
      </x:c>
      <x:c r="H38" s="113" t="str">
        <x:v>International Warehouse</x:v>
      </x:c>
      <x:c r="I38" s="113" t="str">
        <x:v>https://www.klarelle.store/product/3b769fb4-092a-40ef-bbe3-48dce2ae16f4</x:v>
      </x:c>
    </x:row>
    <x:row r="39">
      <x:c r="A39" s="112" t="str">
        <x:v>D035</x:v>
      </x:c>
      <x:c r="B39" s="112" t="str">
        <x:v>Seraphina Pearl Gown</x:v>
      </x:c>
      <x:c r="C39" s="112" t="str">
        <x:v>Dress</x:v>
      </x:c>
      <x:c r="D39" s="112" t="str">
        <x:v>Published</x:v>
      </x:c>
      <x:c r="E39" s="112" t="n">
        <x:v>30</x:v>
      </x:c>
      <x:c r="F39" s="113" t="str">
        <x:v>White</x:v>
      </x:c>
      <x:c r="G39" s="113" t="str">
        <x:v>S, M, L, XL</x:v>
      </x:c>
      <x:c r="H39" s="113" t="str">
        <x:v>US Warehouse</x:v>
      </x:c>
      <x:c r="I39" s="113" t="str">
        <x:v>https://www.klarelle.store/product/aca4d033-e638-4e44-9a48-fbe6574869b4</x:v>
      </x:c>
    </x:row>
    <x:row r="40">
      <x:c r="A40" s="112" t="str">
        <x:v>D036</x:v>
      </x:c>
      <x:c r="B40" s="112" t="str">
        <x:v>Élodie Bow Mini Dress</x:v>
      </x:c>
      <x:c r="C40" s="112" t="str">
        <x:v>Dress</x:v>
      </x:c>
      <x:c r="D40" s="112" t="str">
        <x:v>Published</x:v>
      </x:c>
      <x:c r="E40" s="112" t="n">
        <x:v>31</x:v>
      </x:c>
      <x:c r="F40" s="113" t="str">
        <x:v>Pink, White</x:v>
      </x:c>
      <x:c r="G40" s="113" t="str">
        <x:v>S, M, L, XL</x:v>
      </x:c>
      <x:c r="H40" s="113" t="str">
        <x:v>US Warehouse</x:v>
      </x:c>
      <x:c r="I40" s="113" t="str">
        <x:v>https://www.klarelle.store/product/6bf0bd46-d4c9-4d47-8b54-873bcc02b29c</x:v>
      </x:c>
    </x:row>
    <x:row r="41">
      <x:c r="A41" s="112" t="str">
        <x:v>D037</x:v>
      </x:c>
      <x:c r="B41" s="112" t="str">
        <x:v>Celeste Dress</x:v>
      </x:c>
      <x:c r="C41" s="112" t="str">
        <x:v>Dress</x:v>
      </x:c>
      <x:c r="D41" s="112" t="str">
        <x:v>Published</x:v>
      </x:c>
      <x:c r="E41" s="112" t="n">
        <x:v>32</x:v>
      </x:c>
      <x:c r="F41" s="113" t="str">
        <x:v>Pink</x:v>
      </x:c>
      <x:c r="G41" s="113" t="str">
        <x:v>S, M, L, XL</x:v>
      </x:c>
      <x:c r="H41" s="113" t="str">
        <x:v>US Warehouse</x:v>
      </x:c>
      <x:c r="I41" s="113" t="str">
        <x:v>https://www.klarelle.store/product/0498989b-926e-48b3-9166-d78a038c8d0e</x:v>
      </x:c>
    </x:row>
    <x:row r="42">
      <x:c r="A42" s="112" t="str">
        <x:v>D038</x:v>
      </x:c>
      <x:c r="B42" s="112" t="str">
        <x:v>Reilia Dress</x:v>
      </x:c>
      <x:c r="C42" s="112" t="str">
        <x:v>Dress</x:v>
      </x:c>
      <x:c r="D42" s="112" t="str">
        <x:v>Published</x:v>
      </x:c>
      <x:c r="E42" s="112" t="n">
        <x:v>33</x:v>
      </x:c>
      <x:c r="F42" s="113" t="str">
        <x:v>White, Red</x:v>
      </x:c>
      <x:c r="G42" s="113" t="str">
        <x:v>S, M, L, XL</x:v>
      </x:c>
      <x:c r="H42" s="113" t="str">
        <x:v>US Warehouse</x:v>
      </x:c>
      <x:c r="I42" s="113" t="str">
        <x:v>https://www.klarelle.store/product/beb78048-8681-4af8-b6be-7babbbe9fc68</x:v>
      </x:c>
    </x:row>
    <x:row r="43">
      <x:c r="A43" s="112" t="str">
        <x:v>D039</x:v>
      </x:c>
      <x:c r="B43" s="112" t="str">
        <x:v>Lenora Noir Gown</x:v>
      </x:c>
      <x:c r="C43" s="112" t="str">
        <x:v>Dress</x:v>
      </x:c>
      <x:c r="D43" s="112" t="str">
        <x:v>Published</x:v>
      </x:c>
      <x:c r="E43" s="112" t="n">
        <x:v>36</x:v>
      </x:c>
      <x:c r="F43" s="113" t="str">
        <x:v>Black</x:v>
      </x:c>
      <x:c r="G43" s="113" t="str">
        <x:v>S, M, L, XL, XXL</x:v>
      </x:c>
      <x:c r="H43" s="113" t="str">
        <x:v>US Warehouse</x:v>
      </x:c>
      <x:c r="I43" s="113" t="str">
        <x:v>https://www.klarelle.store/product/b4296447-ac50-4353-8421-e5ac2e699d8d</x:v>
      </x:c>
    </x:row>
    <x:row r="44">
      <x:c r="A44" s="112" t="str">
        <x:v>D040</x:v>
      </x:c>
      <x:c r="B44" s="112" t="str">
        <x:v>Rubielle Éclat Gown</x:v>
      </x:c>
      <x:c r="C44" s="112" t="str">
        <x:v>Dress</x:v>
      </x:c>
      <x:c r="D44" s="112" t="str">
        <x:v>Published</x:v>
      </x:c>
      <x:c r="E44" s="112" t="n">
        <x:v>37</x:v>
      </x:c>
      <x:c r="F44" s="113" t="str">
        <x:v>Red</x:v>
      </x:c>
      <x:c r="G44" s="113" t="str">
        <x:v>S, M, L, XL, XXL</x:v>
      </x:c>
      <x:c r="H44" s="113" t="str">
        <x:v>US Warehouse</x:v>
      </x:c>
      <x:c r="I44" s="113" t="str">
        <x:v>https://www.klarelle.store/product/27ad571e-c729-4c1e-8ff1-c8be9486c280</x:v>
      </x:c>
    </x:row>
    <x:row r="45">
      <x:c r="A45" s="112" t="str">
        <x:v>D041</x:v>
      </x:c>
      <x:c r="B45" s="112" t="str">
        <x:v>Virelle Rosé Gown</x:v>
      </x:c>
      <x:c r="C45" s="112" t="str">
        <x:v>Dress</x:v>
      </x:c>
      <x:c r="D45" s="112" t="str">
        <x:v>Published</x:v>
      </x:c>
      <x:c r="E45" s="112" t="n">
        <x:v>38</x:v>
      </x:c>
      <x:c r="F45" s="113" t="str">
        <x:v>Red, Wine</x:v>
      </x:c>
      <x:c r="G45" s="113" t="str">
        <x:v>S, M, L, XL</x:v>
      </x:c>
      <x:c r="H45" s="113" t="str">
        <x:v>US Warehouse</x:v>
      </x:c>
      <x:c r="I45" s="113" t="str">
        <x:v>https://www.klarelle.store/product/28383451-fb2b-439a-948d-6e40afd52feb</x:v>
      </x:c>
    </x:row>
    <x:row r="46">
      <x:c r="A46" s="112" t="str">
        <x:v>D042</x:v>
      </x:c>
      <x:c r="B46" s="112" t="str">
        <x:v>Murielle Rosé Ruffle Dress</x:v>
      </x:c>
      <x:c r="C46" s="112" t="str">
        <x:v>Dress</x:v>
      </x:c>
      <x:c r="D46" s="112" t="str">
        <x:v>Published</x:v>
      </x:c>
      <x:c r="E46" s="112" t="n">
        <x:v>39</x:v>
      </x:c>
      <x:c r="F46" s="113" t="str">
        <x:v>Pink</x:v>
      </x:c>
      <x:c r="G46" s="113" t="str">
        <x:v>OS</x:v>
      </x:c>
      <x:c r="H46" s="113" t="str">
        <x:v>US Warehouse</x:v>
      </x:c>
      <x:c r="I46" s="113" t="str">
        <x:v>https://www.klarelle.store/product/a7790962-c3bc-4f6a-b0f0-fed66ccc7baa</x:v>
      </x:c>
    </x:row>
    <x:row r="47">
      <x:c r="A47" s="112" t="str">
        <x:v>D043</x:v>
      </x:c>
      <x:c r="B47" s="112" t="str">
        <x:v>Anelle Gown</x:v>
      </x:c>
      <x:c r="C47" s="112" t="str">
        <x:v>Dress</x:v>
      </x:c>
      <x:c r="D47" s="112" t="str">
        <x:v>Published</x:v>
      </x:c>
      <x:c r="E47" s="112" t="n">
        <x:v>40</x:v>
      </x:c>
      <x:c r="F47" s="113" t="str">
        <x:v>Black, Pink</x:v>
      </x:c>
      <x:c r="G47" s="113" t="str">
        <x:v>S, M, L, XL</x:v>
      </x:c>
      <x:c r="H47" s="113" t="str">
        <x:v>US Warehouse</x:v>
      </x:c>
      <x:c r="I47" s="113" t="str">
        <x:v>https://www.klarelle.store/product/5a83d928-fa30-434d-af0a-02b31f7d2d91</x:v>
      </x:c>
    </x:row>
    <x:row r="48">
      <x:c r="A48" s="112" t="str">
        <x:v>D044</x:v>
      </x:c>
      <x:c r="B48" s="112" t="str">
        <x:v>Amarielle Bloom Gown</x:v>
      </x:c>
      <x:c r="C48" s="112" t="str">
        <x:v>Dress</x:v>
      </x:c>
      <x:c r="D48" s="112" t="str">
        <x:v>Published</x:v>
      </x:c>
      <x:c r="E48" s="112" t="n">
        <x:v>41</x:v>
      </x:c>
      <x:c r="F48" s="113" t="str">
        <x:v>Pink, Black</x:v>
      </x:c>
      <x:c r="G48" s="113" t="str">
        <x:v>S, M, L, XL, XXL</x:v>
      </x:c>
      <x:c r="H48" s="113" t="str">
        <x:v>US Warehouse</x:v>
      </x:c>
      <x:c r="I48" s="113" t="str">
        <x:v>https://www.klarelle.store/product/d6c0fa4f-d211-48e1-9da3-00d400e7155b</x:v>
      </x:c>
    </x:row>
    <x:row r="49">
      <x:c r="A49" s="112" t="str">
        <x:v>D045</x:v>
      </x:c>
      <x:c r="B49" s="112" t="str">
        <x:v>Roselle Amour Gown</x:v>
      </x:c>
      <x:c r="C49" s="112" t="str">
        <x:v>Dress</x:v>
      </x:c>
      <x:c r="D49" s="112" t="str">
        <x:v>Published</x:v>
      </x:c>
      <x:c r="E49" s="112" t="n">
        <x:v>42</x:v>
      </x:c>
      <x:c r="F49" s="113" t="str">
        <x:v>White</x:v>
      </x:c>
      <x:c r="G49" s="113" t="str">
        <x:v>S, M, L, XL</x:v>
      </x:c>
      <x:c r="H49" s="113" t="str">
        <x:v>International Warehouse</x:v>
      </x:c>
      <x:c r="I49" s="113" t="str">
        <x:v>https://www.klarelle.store/product/58e5bab5-9c97-4f53-9a5f-a2297b752950</x:v>
      </x:c>
    </x:row>
    <x:row r="50">
      <x:c r="A50" s="112" t="str">
        <x:v>D046</x:v>
      </x:c>
      <x:c r="B50" s="112" t="str">
        <x:v>Zenelle Fringe Dress</x:v>
      </x:c>
      <x:c r="C50" s="112" t="str">
        <x:v>Dress</x:v>
      </x:c>
      <x:c r="D50" s="112" t="str">
        <x:v>Published</x:v>
      </x:c>
      <x:c r="E50" s="112" t="n">
        <x:v>43</x:v>
      </x:c>
      <x:c r="F50" s="113" t="str">
        <x:v>Pink</x:v>
      </x:c>
      <x:c r="G50" s="113" t="str">
        <x:v>S, M, L, XL</x:v>
      </x:c>
      <x:c r="H50" s="113" t="str">
        <x:v>International Warehouse</x:v>
      </x:c>
      <x:c r="I50" s="113" t="str">
        <x:v>https://www.klarelle.store/product/e6aa3408-a6ca-40cf-b903-8b8063be0249</x:v>
      </x:c>
    </x:row>
    <x:row r="51">
      <x:c r="A51" s="112" t="str">
        <x:v>D047</x:v>
      </x:c>
      <x:c r="B51" s="112" t="str">
        <x:v>Scarlett Élan Gown</x:v>
      </x:c>
      <x:c r="C51" s="112" t="str">
        <x:v>Dress</x:v>
      </x:c>
      <x:c r="D51" s="112" t="str">
        <x:v>Published</x:v>
      </x:c>
      <x:c r="E51" s="112" t="n">
        <x:v>44</x:v>
      </x:c>
      <x:c r="F51" s="113" t="str">
        <x:v>Red</x:v>
      </x:c>
      <x:c r="G51" s="113" t="str">
        <x:v>S, M, L, XL</x:v>
      </x:c>
      <x:c r="H51" s="113" t="str">
        <x:v>International Warehouse</x:v>
      </x:c>
      <x:c r="I51" s="113" t="str">
        <x:v>https://www.klarelle.store/product/fb106103-db10-4fa1-8da0-7838e33baa79</x:v>
      </x:c>
    </x:row>
    <x:row r="52">
      <x:c r="A52" s="112" t="str">
        <x:v>D048</x:v>
      </x:c>
      <x:c r="B52" s="112" t="str">
        <x:v>Evangeline Gown</x:v>
      </x:c>
      <x:c r="C52" s="112" t="str">
        <x:v>Dress</x:v>
      </x:c>
      <x:c r="D52" s="112" t="str">
        <x:v>Published</x:v>
      </x:c>
      <x:c r="E52" s="112" t="n">
        <x:v>46</x:v>
      </x:c>
      <x:c r="F52" s="113" t="str">
        <x:v>Green</x:v>
      </x:c>
      <x:c r="G52" s="113" t="str">
        <x:v>S, M, L, XL</x:v>
      </x:c>
      <x:c r="H52" s="113" t="str">
        <x:v>International Warehouse</x:v>
      </x:c>
      <x:c r="I52" s="113" t="str">
        <x:v>https://www.klarelle.store/product/cabee3da-3a98-451e-bb5c-7ce2437b4dc6</x:v>
      </x:c>
    </x:row>
    <x:row r="53">
      <x:c r="A53" s="112" t="str">
        <x:v>D049</x:v>
      </x:c>
      <x:c r="B53" s="112" t="str">
        <x:v>Mariposa Gown</x:v>
      </x:c>
      <x:c r="C53" s="112" t="str">
        <x:v>Dress</x:v>
      </x:c>
      <x:c r="D53" s="112" t="str">
        <x:v>Published</x:v>
      </x:c>
      <x:c r="E53" s="112" t="n">
        <x:v>47</x:v>
      </x:c>
      <x:c r="F53" s="113" t="str">
        <x:v>Brown</x:v>
      </x:c>
      <x:c r="G53" s="113" t="str">
        <x:v>S, M, L, XL</x:v>
      </x:c>
      <x:c r="H53" s="113" t="str">
        <x:v>International Warehouse</x:v>
      </x:c>
      <x:c r="I53" s="113" t="str">
        <x:v>https://www.klarelle.store/product/9f760340-3a76-4269-b164-ed2968576f10</x:v>
      </x:c>
    </x:row>
    <x:row r="54">
      <x:c r="A54" s="112" t="str">
        <x:v>D050</x:v>
      </x:c>
      <x:c r="B54" s="112" t="str">
        <x:v>Rosavelle Dress</x:v>
      </x:c>
      <x:c r="C54" s="112" t="str">
        <x:v>Dress</x:v>
      </x:c>
      <x:c r="D54" s="112" t="str">
        <x:v>Published</x:v>
      </x:c>
      <x:c r="E54" s="112" t="n">
        <x:v>48</x:v>
      </x:c>
      <x:c r="F54" s="113" t="str">
        <x:v>Green</x:v>
      </x:c>
      <x:c r="G54" s="113" t="str">
        <x:v>S, M, L, XL</x:v>
      </x:c>
      <x:c r="H54" s="113" t="str">
        <x:v>International Warehouse</x:v>
      </x:c>
      <x:c r="I54" s="113" t="str">
        <x:v>https://www.klarelle.store/product/abad4a33-7ce5-471c-b4f0-059787079bc5</x:v>
      </x:c>
    </x:row>
    <x:row r="55">
      <x:c r="A55" s="112" t="str">
        <x:v>D051</x:v>
      </x:c>
      <x:c r="B55" s="112" t="str">
        <x:v>Mirelle Gown</x:v>
      </x:c>
      <x:c r="C55" s="112" t="str">
        <x:v>Dress</x:v>
      </x:c>
      <x:c r="D55" s="112" t="str">
        <x:v>Published</x:v>
      </x:c>
      <x:c r="E55" s="112" t="n">
        <x:v>49</x:v>
      </x:c>
      <x:c r="F55" s="113" t="str">
        <x:v>Black And White</x:v>
      </x:c>
      <x:c r="G55" s="113" t="str">
        <x:v>S, M, L, XL</x:v>
      </x:c>
      <x:c r="H55" s="113" t="str">
        <x:v>International Warehouse</x:v>
      </x:c>
      <x:c r="I55" s="113" t="str">
        <x:v>https://www.klarelle.store/product/061ca12b-4f93-4537-a201-5a5332ab68ea</x:v>
      </x:c>
    </x:row>
    <x:row r="56">
      <x:c r="A56" s="112" t="str">
        <x:v>D052</x:v>
      </x:c>
      <x:c r="B56" s="112" t="str">
        <x:v>Emeraldé Gown</x:v>
      </x:c>
      <x:c r="C56" s="112" t="str">
        <x:v>Dress</x:v>
      </x:c>
      <x:c r="D56" s="112" t="str">
        <x:v>Published</x:v>
      </x:c>
      <x:c r="E56" s="112" t="n">
        <x:v>50</x:v>
      </x:c>
      <x:c r="F56" s="113" t="str">
        <x:v>Green</x:v>
      </x:c>
      <x:c r="G56" s="113" t="str">
        <x:v>S, M, L, XL</x:v>
      </x:c>
      <x:c r="H56" s="113" t="str">
        <x:v>International Warehouse</x:v>
      </x:c>
      <x:c r="I56" s="113" t="str">
        <x:v>https://www.klarelle.store/product/f6933692-86ea-42bc-8699-538d568f6cdd</x:v>
      </x:c>
    </x:row>
    <x:row r="57">
      <x:c r="A57" s="112" t="str">
        <x:v>D053</x:v>
      </x:c>
      <x:c r="B57" s="112" t="str">
        <x:v>Amélisse Gown</x:v>
      </x:c>
      <x:c r="C57" s="112" t="str">
        <x:v>Dress</x:v>
      </x:c>
      <x:c r="D57" s="112" t="str">
        <x:v>Published</x:v>
      </x:c>
      <x:c r="E57" s="112" t="n">
        <x:v>51</x:v>
      </x:c>
      <x:c r="F57" s="113" t="str">
        <x:v>Green</x:v>
      </x:c>
      <x:c r="G57" s="113" t="str">
        <x:v>S, M, L, XL</x:v>
      </x:c>
      <x:c r="H57" s="113" t="str">
        <x:v>International Warehouse</x:v>
      </x:c>
      <x:c r="I57" s="113" t="str">
        <x:v>https://www.klarelle.store/product/745c0502-a604-4606-ae64-eab216ac0c19</x:v>
      </x:c>
    </x:row>
    <x:row r="58">
      <x:c r="A58" s="112" t="str">
        <x:v>D054</x:v>
      </x:c>
      <x:c r="B58" s="112" t="str">
        <x:v>Solenne Gown</x:v>
      </x:c>
      <x:c r="C58" s="112" t="str">
        <x:v>Dress</x:v>
      </x:c>
      <x:c r="D58" s="112" t="str">
        <x:v>Published</x:v>
      </x:c>
      <x:c r="E58" s="112" t="n">
        <x:v>52</x:v>
      </x:c>
      <x:c r="F58" s="113" t="str">
        <x:v>Black And White</x:v>
      </x:c>
      <x:c r="G58" s="113" t="str">
        <x:v>S, M, L, XL</x:v>
      </x:c>
      <x:c r="H58" s="113" t="str">
        <x:v>International Warehouse</x:v>
      </x:c>
      <x:c r="I58" s="113" t="str">
        <x:v>https://www.klarelle.store/product/b357592a-3963-465c-b3ba-2792e0edf69f</x:v>
      </x:c>
    </x:row>
    <x:row r="59">
      <x:c r="A59" s="112" t="str">
        <x:v>D055</x:v>
      </x:c>
      <x:c r="B59" s="112" t="str">
        <x:v>Aurelia Noir Gown</x:v>
      </x:c>
      <x:c r="C59" s="112" t="str">
        <x:v>Dress</x:v>
      </x:c>
      <x:c r="D59" s="112" t="str">
        <x:v>Published</x:v>
      </x:c>
      <x:c r="E59" s="112" t="n">
        <x:v>54</x:v>
      </x:c>
      <x:c r="F59" s="113" t="str">
        <x:v>Black</x:v>
      </x:c>
      <x:c r="G59" s="113" t="str">
        <x:v>S, M, L, XL</x:v>
      </x:c>
      <x:c r="H59" s="113" t="str">
        <x:v>International Warehouse</x:v>
      </x:c>
      <x:c r="I59" s="113" t="str">
        <x:v>https://www.klarelle.store/product/5dc94de9-089b-42a9-9280-9f583baea302</x:v>
      </x:c>
    </x:row>
    <x:row r="60">
      <x:c r="A60" s="112" t="str">
        <x:v>D056</x:v>
      </x:c>
      <x:c r="B60" s="112" t="str">
        <x:v>Avrielle Gown</x:v>
      </x:c>
      <x:c r="C60" s="112" t="str">
        <x:v>Dress</x:v>
      </x:c>
      <x:c r="D60" s="112" t="str">
        <x:v>Published</x:v>
      </x:c>
      <x:c r="E60" s="112" t="n">
        <x:v>55</x:v>
      </x:c>
      <x:c r="F60" s="113" t="str">
        <x:v>Ash, Pink</x:v>
      </x:c>
      <x:c r="G60" s="113" t="str">
        <x:v>S, M, L, XL</x:v>
      </x:c>
      <x:c r="H60" s="113" t="str">
        <x:v>International Warehouse</x:v>
      </x:c>
      <x:c r="I60" s="113" t="str">
        <x:v>https://www.klarelle.store/product/f3e127c5-12a3-4b74-9a1c-0775e7b8723f</x:v>
      </x:c>
    </x:row>
    <x:row r="61">
      <x:c r="A61" s="112" t="str">
        <x:v>D057</x:v>
      </x:c>
      <x:c r="B61" s="112" t="str">
        <x:v>Brielle Fringe Gown</x:v>
      </x:c>
      <x:c r="C61" s="112" t="str">
        <x:v>Dress</x:v>
      </x:c>
      <x:c r="D61" s="112" t="str">
        <x:v>Published</x:v>
      </x:c>
      <x:c r="E61" s="112" t="n">
        <x:v>58</x:v>
      </x:c>
      <x:c r="F61" s="113" t="str">
        <x:v>Black And White Ombre, Pink And White Ombre, Mint Green And White Ombre, Blue Ombre, Gold</x:v>
      </x:c>
      <x:c r="G61" s="113" t="str">
        <x:v>S, M, L, XL</x:v>
      </x:c>
      <x:c r="H61" s="113" t="str">
        <x:v>International Warehouse</x:v>
      </x:c>
      <x:c r="I61" s="113" t="str">
        <x:v>https://www.klarelle.store/product/a65c42b8-2f4a-40b8-a139-ad86689a25d7</x:v>
      </x:c>
    </x:row>
    <x:row r="62">
      <x:c r="A62" s="112" t="str">
        <x:v>D058</x:v>
      </x:c>
      <x:c r="B62" s="112" t="str">
        <x:v>Zaria Crystal Gown</x:v>
      </x:c>
      <x:c r="C62" s="112" t="str">
        <x:v>Dress</x:v>
      </x:c>
      <x:c r="D62" s="112" t="str">
        <x:v>Published</x:v>
      </x:c>
      <x:c r="E62" s="112" t="n">
        <x:v>59</x:v>
      </x:c>
      <x:c r="F62" s="113" t="str">
        <x:v>Pink</x:v>
      </x:c>
      <x:c r="G62" s="113" t="str">
        <x:v>S, M, L, XL</x:v>
      </x:c>
      <x:c r="H62" s="113" t="str">
        <x:v>International Warehouse</x:v>
      </x:c>
      <x:c r="I62" s="113" t="str">
        <x:v>https://www.klarelle.store/product/48eb4b04-2f0c-4ac8-982e-cddedff72094</x:v>
      </x:c>
    </x:row>
    <x:row r="63">
      <x:c r="A63" s="112" t="str">
        <x:v>D059</x:v>
      </x:c>
      <x:c r="B63" s="112" t="str">
        <x:v>Amara Rhinestone Gown</x:v>
      </x:c>
      <x:c r="C63" s="112" t="str">
        <x:v>Dress</x:v>
      </x:c>
      <x:c r="D63" s="112" t="str">
        <x:v>Published</x:v>
      </x:c>
      <x:c r="E63" s="112" t="n">
        <x:v>60</x:v>
      </x:c>
      <x:c r="F63" s="113" t="str">
        <x:v>Multi Colored</x:v>
      </x:c>
      <x:c r="G63" s="113" t="str">
        <x:v>S, M, L, XL</x:v>
      </x:c>
      <x:c r="H63" s="113" t="str">
        <x:v>International Warehouse</x:v>
      </x:c>
      <x:c r="I63" s="113" t="str">
        <x:v>https://www.klarelle.store/product/4d603023-3a7b-4565-8076-d041231a56a6</x:v>
      </x:c>
    </x:row>
    <x:row r="64">
      <x:c r="A64" s="114" t="str">
        <x:v>SHP001</x:v>
      </x:c>
      <x:c r="B64" s="114" t="str">
        <x:v>Klarelle Hour Glass Body Shaper</x:v>
      </x:c>
      <x:c r="C64" s="114" t="str">
        <x:v>Shapewear</x:v>
      </x:c>
      <x:c r="D64" s="114" t="str">
        <x:v>Published</x:v>
      </x:c>
      <x:c r="E64" s="114" t="n">
        <x:v>22</x:v>
      </x:c>
      <x:c r="F64" s="115" t="str">
        <x:v>Black</x:v>
      </x:c>
      <x:c r="G64" s="115" t="str">
        <x:v>XS, S, M, L, XL, XXL</x:v>
      </x:c>
      <x:c r="H64" s="115" t="str">
        <x:v>US Warehouse</x:v>
      </x:c>
      <x:c r="I64" s="115" t="str">
        <x:v>https://www.klarelle.store/product/b091bc3b-7933-410b-bd50-7b31977922cd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54a7eca53854c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10" hidden="0" customWidth="1"/>
    <x:col min="3" max="3" width="11.109999656677246" hidden="0" customWidth="1"/>
    <x:col min="4" max="4" width="12.220000267028809" hidden="0" customWidth="1"/>
    <x:col min="5" max="5" width="32.220001220703125" hidden="0" customWidth="1"/>
    <x:col min="6" max="6" width="20" hidden="0" customWidth="1"/>
  </x:cols>
  <x:sheetData>
    <x:row r="1" ht="30" customHeight="1">
      <x:c r="A1" s="106" t="str">
        <x:v>KLARELLE SKU CODE GUIDE</x:v>
      </x:c>
      <x:c r="B1" s="106"/>
      <x:c r="C1" s="106"/>
      <x:c r="D1" s="106"/>
      <x:c r="E1" s="106"/>
      <x:c r="F1" s="106"/>
    </x:row>
    <x:row r="2" ht="22" customHeight="1">
      <x:c r="A2" s="107" t="str">
        <x:v>Use these codes consistently across the website, Easyship, barcode labels and physical inventory.</x:v>
      </x:c>
      <x:c r="B2" s="107"/>
      <x:c r="C2" s="107"/>
      <x:c r="D2" s="107"/>
      <x:c r="E2" s="107"/>
      <x:c r="F2" s="107"/>
    </x:row>
    <x:row r="3">
      <x:c r="A3" s="108"/>
      <x:c r="B3" s="108"/>
      <x:c r="C3" s="108"/>
      <x:c r="D3" s="108"/>
      <x:c r="E3" s="108"/>
      <x:c r="F3" s="108"/>
    </x:row>
    <x:row r="4" ht="34" customHeight="1">
      <x:c r="A4" s="109" t="str">
        <x:v>Product Type</x:v>
      </x:c>
      <x:c r="B4" s="109" t="str">
        <x:v>Prefix</x:v>
      </x:c>
      <x:c r="C4" s="109" t="str">
        <x:v>First Code</x:v>
      </x:c>
      <x:c r="D4" s="109" t="str">
        <x:v>Next Unused</x:v>
      </x:c>
      <x:c r="E4" s="109" t="str">
        <x:v>Rule</x:v>
      </x:c>
      <x:c r="F4" s="109" t="str">
        <x:v>Example SKU</x:v>
      </x:c>
    </x:row>
    <x:row r="5">
      <x:c r="A5" s="116" t="str">
        <x:v>Dress / Gown</x:v>
      </x:c>
      <x:c r="B5" s="116" t="str">
        <x:v>D</x:v>
      </x:c>
      <x:c r="C5" s="116" t="str">
        <x:v>D001</x:v>
      </x:c>
      <x:c r="D5" s="116" t="str">
        <x:v>D060</x:v>
      </x:c>
      <x:c r="E5" s="116" t="str">
        <x:v>D008 is Dress #8; never reuse retired codes</x:v>
      </x:c>
      <x:c r="F5" s="116" t="str">
        <x:v>KLA-D008-BLK-M</x:v>
      </x:c>
    </x:row>
    <x:row r="6">
      <x:c r="A6" s="117" t="str">
        <x:v>Top</x:v>
      </x:c>
      <x:c r="B6" s="117" t="str">
        <x:v>TOP</x:v>
      </x:c>
      <x:c r="C6" s="117" t="str">
        <x:v>TOP001</x:v>
      </x:c>
      <x:c r="D6" s="117" t="str">
        <x:v>TOP001</x:v>
      </x:c>
      <x:c r="E6" s="117" t="str">
        <x:v>Three-digit sequence</x:v>
      </x:c>
      <x:c r="F6" s="117" t="str">
        <x:v>KLA-TOP001-WHT-S</x:v>
      </x:c>
    </x:row>
    <x:row r="7">
      <x:c r="A7" s="117" t="str">
        <x:v>Set / Co-ord</x:v>
      </x:c>
      <x:c r="B7" s="117" t="str">
        <x:v>SET</x:v>
      </x:c>
      <x:c r="C7" s="117" t="str">
        <x:v>SET001</x:v>
      </x:c>
      <x:c r="D7" s="117" t="str">
        <x:v>SET001</x:v>
      </x:c>
      <x:c r="E7" s="117" t="str">
        <x:v>One style code covers the complete set</x:v>
      </x:c>
      <x:c r="F7" s="117" t="str">
        <x:v>KLA-SET001-BRN-M</x:v>
      </x:c>
    </x:row>
    <x:row r="8">
      <x:c r="A8" s="117" t="str">
        <x:v>Skirt</x:v>
      </x:c>
      <x:c r="B8" s="117" t="str">
        <x:v>SKT</x:v>
      </x:c>
      <x:c r="C8" s="117" t="str">
        <x:v>SKT001</x:v>
      </x:c>
      <x:c r="D8" s="117" t="str">
        <x:v>SKT001</x:v>
      </x:c>
      <x:c r="E8" s="117" t="str">
        <x:v>Three-digit sequence</x:v>
      </x:c>
      <x:c r="F8" s="117" t="str">
        <x:v>KLA-SKT001-BLK-M</x:v>
      </x:c>
    </x:row>
    <x:row r="9">
      <x:c r="A9" s="117" t="str">
        <x:v>Bottom / Trouser</x:v>
      </x:c>
      <x:c r="B9" s="117" t="str">
        <x:v>BTM</x:v>
      </x:c>
      <x:c r="C9" s="117" t="str">
        <x:v>BTM001</x:v>
      </x:c>
      <x:c r="D9" s="117" t="str">
        <x:v>BTM001</x:v>
      </x:c>
      <x:c r="E9" s="117" t="str">
        <x:v>Three-digit sequence</x:v>
      </x:c>
      <x:c r="F9" s="117" t="str">
        <x:v>KLA-BTM001-BGE-M</x:v>
      </x:c>
    </x:row>
    <x:row r="10">
      <x:c r="A10" s="117" t="str">
        <x:v>Jumpsuit / Romper</x:v>
      </x:c>
      <x:c r="B10" s="117" t="str">
        <x:v>JMP</x:v>
      </x:c>
      <x:c r="C10" s="117" t="str">
        <x:v>JMP001</x:v>
      </x:c>
      <x:c r="D10" s="117" t="str">
        <x:v>JMP001</x:v>
      </x:c>
      <x:c r="E10" s="117" t="str">
        <x:v>Three-digit sequence</x:v>
      </x:c>
      <x:c r="F10" s="117" t="str">
        <x:v>KLA-JMP001-RED-L</x:v>
      </x:c>
    </x:row>
    <x:row r="11">
      <x:c r="A11" s="117" t="str">
        <x:v>Shapewear</x:v>
      </x:c>
      <x:c r="B11" s="117" t="str">
        <x:v>SHP</x:v>
      </x:c>
      <x:c r="C11" s="117" t="str">
        <x:v>SHP001</x:v>
      </x:c>
      <x:c r="D11" s="117" t="str">
        <x:v>SHP002</x:v>
      </x:c>
      <x:c r="E11" s="117" t="str">
        <x:v>SHP001 is assigned to the Hour Glass Body Shaper</x:v>
      </x:c>
      <x:c r="F11" s="117" t="str">
        <x:v>KLA-SHP001-BLK-M</x:v>
      </x:c>
    </x:row>
    <x:row r="12">
      <x:c r="A12" s="117" t="str">
        <x:v>Outerwear</x:v>
      </x:c>
      <x:c r="B12" s="117" t="str">
        <x:v>OUT</x:v>
      </x:c>
      <x:c r="C12" s="117" t="str">
        <x:v>OUT001</x:v>
      </x:c>
      <x:c r="D12" s="117" t="str">
        <x:v>OUT001</x:v>
      </x:c>
      <x:c r="E12" s="117" t="str">
        <x:v>Three-digit sequence</x:v>
      </x:c>
      <x:c r="F12" s="117" t="str">
        <x:v>KLA-OUT001-BLK-L</x:v>
      </x:c>
    </x:row>
    <x:row r="13">
      <x:c r="A13" s="118" t="str">
        <x:v>Accessory</x:v>
      </x:c>
      <x:c r="B13" s="118" t="str">
        <x:v>ACC</x:v>
      </x:c>
      <x:c r="C13" s="118" t="str">
        <x:v>ACC001</x:v>
      </x:c>
      <x:c r="D13" s="118" t="str">
        <x:v>ACC001</x:v>
      </x:c>
      <x:c r="E13" s="118" t="str">
        <x:v>Three-digit sequence</x:v>
      </x:c>
      <x:c r="F13" s="118" t="str">
        <x:v>KLA-ACC001-GLD-OS</x:v>
      </x:c>
    </x:row>
    <x:row r="14">
      <x:c r="A14" s="108"/>
      <x:c r="B14" s="108"/>
      <x:c r="C14" s="108"/>
      <x:c r="D14" s="108"/>
      <x:c r="E14" s="108"/>
      <x:c r="F14" s="108"/>
    </x:row>
    <x:row r="15">
      <x:c r="A15" s="108"/>
      <x:c r="B15" s="108"/>
      <x:c r="C15" s="108"/>
      <x:c r="D15" s="108"/>
      <x:c r="E15" s="108"/>
      <x:c r="F15" s="108"/>
    </x:row>
    <x:row r="16">
      <x:c r="A16" s="119" t="str">
        <x:v>SKU STRUCTURE: KLA - STYLE CODE - COLOR CODE - SIZE</x:v>
      </x:c>
      <x:c r="B16" s="119"/>
      <x:c r="C16" s="119"/>
      <x:c r="D16" s="119"/>
      <x:c r="E16" s="119"/>
      <x:c r="F16" s="119"/>
    </x:row>
    <x:row r="17">
      <x:c r="A17" s="108"/>
      <x:c r="B17" s="108"/>
      <x:c r="C17" s="108"/>
      <x:c r="D17" s="108"/>
      <x:c r="E17" s="108"/>
      <x:c r="F17" s="108"/>
    </x:row>
    <x:row r="18">
      <x:c r="A18" s="120" t="str">
        <x:v>Segment</x:v>
      </x:c>
      <x:c r="B18" s="120" t="str">
        <x:v>KLA</x:v>
      </x:c>
      <x:c r="C18" s="120" t="str">
        <x:v>D008</x:v>
      </x:c>
      <x:c r="D18" s="120" t="str">
        <x:v>BRN</x:v>
      </x:c>
      <x:c r="E18" s="120" t="str">
        <x:v>M</x:v>
      </x:c>
      <x:c r="F18" s="120" t="str">
        <x:v>Final</x:v>
      </x:c>
    </x:row>
    <x:row r="19">
      <x:c r="A19" s="108" t="str">
        <x:v>Meaning</x:v>
      </x:c>
      <x:c r="B19" s="108" t="str">
        <x:v>Klarelle</x:v>
      </x:c>
      <x:c r="C19" s="108" t="str">
        <x:v>Dress #8</x:v>
      </x:c>
      <x:c r="D19" s="108" t="str">
        <x:v>Brown</x:v>
      </x:c>
      <x:c r="E19" s="108" t="str">
        <x:v>Medium</x:v>
      </x:c>
      <x:c r="F19" s="108" t="str">
        <x:v>KLA-D008-BRN-M</x:v>
      </x:c>
    </x:row>
    <x:row r="20">
      <x:c r="A20" s="108" t="str">
        <x:v>Can change?</x:v>
      </x:c>
      <x:c r="B20" s="108" t="str">
        <x:v>No</x:v>
      </x:c>
      <x:c r="C20" s="108" t="str">
        <x:v>No</x:v>
      </x:c>
      <x:c r="D20" s="108" t="str">
        <x:v>No</x:v>
      </x:c>
      <x:c r="E20" s="108" t="str">
        <x:v>Only for the variant</x:v>
      </x:c>
      <x:c r="F20" s="108" t="str">
        <x:v>No</x:v>
      </x:c>
    </x:row>
    <x:row r="21" ht="38" customHeight="1">
      <x:c r="A21" s="121" t="str">
        <x:v>Important: Existing SKU strings remain unchanged even if the website name, price, color label or product description changes.</x:v>
      </x:c>
      <x:c r="B21" s="121"/>
      <x:c r="C21" s="121"/>
      <x:c r="D21" s="121"/>
      <x:c r="E21" s="121"/>
      <x:c r="F21" s="121"/>
    </x:row>
  </x:sheetData>
  <x:mergeCells>
    <x:mergeCell ref="A1:F1"/>
    <x:mergeCell ref="A2:F2"/>
    <x:mergeCell ref="A16:F16"/>
    <x:mergeCell ref="A21:F21"/>
  </x:mergeCells>
  <x:pageMargins left="0.7" right="0.7" top="0.75" bottom="0.75" header="0.3" footer="0.3"/>
  <x:tableParts count="1">
    <x:tablePart xmlns:r="http://schemas.openxmlformats.org/officeDocument/2006/relationships" r:id="R2abc9be57ab04c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1.109999656677246" hidden="0" customWidth="1"/>
    <x:col min="3" max="3" width="14.4399995803833" hidden="0" customWidth="1"/>
    <x:col min="4" max="4" width="27.780000686645508" hidden="0" customWidth="1"/>
  </x:cols>
  <x:sheetData>
    <x:row r="1" ht="30" customHeight="1">
      <x:c r="A1" s="106" t="str">
        <x:v>KLARELLE OFFICIAL COLOR CODES</x:v>
      </x:c>
      <x:c r="B1" s="106"/>
      <x:c r="C1" s="106"/>
      <x:c r="D1" s="106"/>
    </x:row>
    <x:row r="2" ht="22" customHeight="1">
      <x:c r="A2" s="107" t="str">
        <x:v>Brown is officially BRN. Add new colors here before using them in a SKU.</x:v>
      </x:c>
      <x:c r="B2" s="107"/>
      <x:c r="C2" s="107"/>
      <x:c r="D2" s="107"/>
    </x:row>
    <x:row r="3">
      <x:c r="A3" s="108"/>
      <x:c r="B3" s="108"/>
      <x:c r="C3" s="108"/>
      <x:c r="D3" s="108"/>
    </x:row>
    <x:row r="4" ht="34" customHeight="1">
      <x:c r="A4" s="109" t="str">
        <x:v>Official Color</x:v>
      </x:c>
      <x:c r="B4" s="109" t="str">
        <x:v>Color Code</x:v>
      </x:c>
      <x:c r="C4" s="109" t="str">
        <x:v>Currently Published</x:v>
      </x:c>
      <x:c r="D4" s="109" t="str">
        <x:v>Notes</x:v>
      </x:c>
    </x:row>
    <x:row r="5">
      <x:c r="A5" s="108" t="str">
        <x:v>Ash</x:v>
      </x:c>
      <x:c r="B5" s="108" t="str">
        <x:v>ASH</x:v>
      </x:c>
      <x:c r="C5" s="108" t="str">
        <x:v>Yes</x:v>
      </x:c>
      <x:c r="D5" s="108" t="str"/>
    </x:row>
    <x:row r="6">
      <x:c r="A6" s="108" t="str">
        <x:v>Baby Pink</x:v>
      </x:c>
      <x:c r="B6" s="108" t="str">
        <x:v>BPK</x:v>
      </x:c>
      <x:c r="C6" s="108" t="str">
        <x:v>Yes</x:v>
      </x:c>
      <x:c r="D6" s="108" t="str"/>
    </x:row>
    <x:row r="7">
      <x:c r="A7" s="108" t="str">
        <x:v>Beige</x:v>
      </x:c>
      <x:c r="B7" s="108" t="str">
        <x:v>BGE</x:v>
      </x:c>
      <x:c r="C7" s="108" t="str">
        <x:v>No</x:v>
      </x:c>
      <x:c r="D7" s="108" t="str"/>
    </x:row>
    <x:row r="8">
      <x:c r="A8" s="108" t="str">
        <x:v>Black</x:v>
      </x:c>
      <x:c r="B8" s="108" t="str">
        <x:v>BLK</x:v>
      </x:c>
      <x:c r="C8" s="108" t="str">
        <x:v>Yes</x:v>
      </x:c>
      <x:c r="D8" s="108" t="str"/>
    </x:row>
    <x:row r="9">
      <x:c r="A9" s="108" t="str">
        <x:v>Black And White</x:v>
      </x:c>
      <x:c r="B9" s="108" t="str">
        <x:v>BWT</x:v>
      </x:c>
      <x:c r="C9" s="108" t="str">
        <x:v>Yes</x:v>
      </x:c>
      <x:c r="D9" s="108" t="str"/>
    </x:row>
    <x:row r="10">
      <x:c r="A10" s="108" t="str">
        <x:v>Black And White Ombre</x:v>
      </x:c>
      <x:c r="B10" s="108" t="str">
        <x:v>BWO</x:v>
      </x:c>
      <x:c r="C10" s="108" t="str">
        <x:v>Yes</x:v>
      </x:c>
      <x:c r="D10" s="108" t="str"/>
    </x:row>
    <x:row r="11">
      <x:c r="A11" s="108" t="str">
        <x:v>Blue</x:v>
      </x:c>
      <x:c r="B11" s="108" t="str">
        <x:v>BLU</x:v>
      </x:c>
      <x:c r="C11" s="108" t="str">
        <x:v>Yes</x:v>
      </x:c>
      <x:c r="D11" s="108" t="str"/>
    </x:row>
    <x:row r="12">
      <x:c r="A12" s="108" t="str">
        <x:v>Blue Ombre</x:v>
      </x:c>
      <x:c r="B12" s="108" t="str">
        <x:v>BLO</x:v>
      </x:c>
      <x:c r="C12" s="108" t="str">
        <x:v>Yes</x:v>
      </x:c>
      <x:c r="D12" s="108" t="str"/>
    </x:row>
    <x:row r="13">
      <x:c r="A13" s="108" t="str">
        <x:v>Brown</x:v>
      </x:c>
      <x:c r="B13" s="108" t="str">
        <x:v>BRN</x:v>
      </x:c>
      <x:c r="C13" s="108" t="str">
        <x:v>Yes</x:v>
      </x:c>
      <x:c r="D13" s="108" t="str"/>
    </x:row>
    <x:row r="14">
      <x:c r="A14" s="108" t="str">
        <x:v>Cream</x:v>
      </x:c>
      <x:c r="B14" s="108" t="str">
        <x:v>CRM</x:v>
      </x:c>
      <x:c r="C14" s="108" t="str">
        <x:v>Yes</x:v>
      </x:c>
      <x:c r="D14" s="108" t="str"/>
    </x:row>
    <x:row r="15">
      <x:c r="A15" s="108" t="str">
        <x:v>Crimson</x:v>
      </x:c>
      <x:c r="B15" s="108" t="str">
        <x:v>CRI</x:v>
      </x:c>
      <x:c r="C15" s="108" t="str">
        <x:v>Yes</x:v>
      </x:c>
      <x:c r="D15" s="108" t="str"/>
    </x:row>
    <x:row r="16">
      <x:c r="A16" s="108" t="str">
        <x:v>Gold</x:v>
      </x:c>
      <x:c r="B16" s="108" t="str">
        <x:v>GLD</x:v>
      </x:c>
      <x:c r="C16" s="108" t="str">
        <x:v>Yes</x:v>
      </x:c>
      <x:c r="D16" s="108" t="str"/>
    </x:row>
    <x:row r="17">
      <x:c r="A17" s="108" t="str">
        <x:v>Green</x:v>
      </x:c>
      <x:c r="B17" s="108" t="str">
        <x:v>GRN</x:v>
      </x:c>
      <x:c r="C17" s="108" t="str">
        <x:v>Yes</x:v>
      </x:c>
      <x:c r="D17" s="108" t="str"/>
    </x:row>
    <x:row r="18">
      <x:c r="A18" s="108" t="str">
        <x:v>Grey</x:v>
      </x:c>
      <x:c r="B18" s="108" t="str">
        <x:v>GRY</x:v>
      </x:c>
      <x:c r="C18" s="108" t="str">
        <x:v>Yes</x:v>
      </x:c>
      <x:c r="D18" s="108" t="str"/>
    </x:row>
    <x:row r="19">
      <x:c r="A19" s="108" t="str">
        <x:v>Ivory</x:v>
      </x:c>
      <x:c r="B19" s="108" t="str">
        <x:v>IVR</x:v>
      </x:c>
      <x:c r="C19" s="108" t="str">
        <x:v>No</x:v>
      </x:c>
      <x:c r="D19" s="108" t="str"/>
    </x:row>
    <x:row r="20">
      <x:c r="A20" s="108" t="str">
        <x:v>Light Blue</x:v>
      </x:c>
      <x:c r="B20" s="108" t="str">
        <x:v>LBL</x:v>
      </x:c>
      <x:c r="C20" s="108" t="str">
        <x:v>Yes</x:v>
      </x:c>
      <x:c r="D20" s="108" t="str"/>
    </x:row>
    <x:row r="21">
      <x:c r="A21" s="108" t="str">
        <x:v>Lime</x:v>
      </x:c>
      <x:c r="B21" s="108" t="str">
        <x:v>LIM</x:v>
      </x:c>
      <x:c r="C21" s="108" t="str">
        <x:v>No</x:v>
      </x:c>
      <x:c r="D21" s="108" t="str"/>
    </x:row>
    <x:row r="22">
      <x:c r="A22" s="108" t="str">
        <x:v>Mint</x:v>
      </x:c>
      <x:c r="B22" s="108" t="str">
        <x:v>MNT</x:v>
      </x:c>
      <x:c r="C22" s="108" t="str">
        <x:v>No</x:v>
      </x:c>
      <x:c r="D22" s="108" t="str"/>
    </x:row>
    <x:row r="23">
      <x:c r="A23" s="108" t="str">
        <x:v>Mint Green And White Ombre</x:v>
      </x:c>
      <x:c r="B23" s="108" t="str">
        <x:v>MWO</x:v>
      </x:c>
      <x:c r="C23" s="108" t="str">
        <x:v>Yes</x:v>
      </x:c>
      <x:c r="D23" s="108" t="str"/>
    </x:row>
    <x:row r="24">
      <x:c r="A24" s="108" t="str">
        <x:v>Multi</x:v>
      </x:c>
      <x:c r="B24" s="108" t="str">
        <x:v>MLT</x:v>
      </x:c>
      <x:c r="C24" s="108" t="str">
        <x:v>Yes</x:v>
      </x:c>
      <x:c r="D24" s="108" t="str"/>
    </x:row>
    <x:row r="25">
      <x:c r="A25" s="108" t="str">
        <x:v>Multi Colored</x:v>
      </x:c>
      <x:c r="B25" s="108" t="str">
        <x:v>MLT</x:v>
      </x:c>
      <x:c r="C25" s="108" t="str">
        <x:v>Yes</x:v>
      </x:c>
      <x:c r="D25" s="108" t="str">
        <x:v>Shares MLT with Multi</x:v>
      </x:c>
    </x:row>
    <x:row r="26">
      <x:c r="A26" s="108" t="str">
        <x:v>Orange</x:v>
      </x:c>
      <x:c r="B26" s="108" t="str">
        <x:v>ORG</x:v>
      </x:c>
      <x:c r="C26" s="108" t="str">
        <x:v>Yes</x:v>
      </x:c>
      <x:c r="D26" s="108" t="str"/>
    </x:row>
    <x:row r="27">
      <x:c r="A27" s="108" t="str">
        <x:v>Pink</x:v>
      </x:c>
      <x:c r="B27" s="108" t="str">
        <x:v>PNK</x:v>
      </x:c>
      <x:c r="C27" s="108" t="str">
        <x:v>Yes</x:v>
      </x:c>
      <x:c r="D27" s="108" t="str"/>
    </x:row>
    <x:row r="28">
      <x:c r="A28" s="108" t="str">
        <x:v>Pink And White Ombre</x:v>
      </x:c>
      <x:c r="B28" s="108" t="str">
        <x:v>PWO</x:v>
      </x:c>
      <x:c r="C28" s="108" t="str">
        <x:v>Yes</x:v>
      </x:c>
      <x:c r="D28" s="108" t="str"/>
    </x:row>
    <x:row r="29">
      <x:c r="A29" s="108" t="str">
        <x:v>Purple</x:v>
      </x:c>
      <x:c r="B29" s="108" t="str">
        <x:v>PUR</x:v>
      </x:c>
      <x:c r="C29" s="108" t="str">
        <x:v>No</x:v>
      </x:c>
      <x:c r="D29" s="108" t="str"/>
    </x:row>
    <x:row r="30">
      <x:c r="A30" s="108" t="str">
        <x:v>Red</x:v>
      </x:c>
      <x:c r="B30" s="108" t="str">
        <x:v>RED</x:v>
      </x:c>
      <x:c r="C30" s="108" t="str">
        <x:v>Yes</x:v>
      </x:c>
      <x:c r="D30" s="108" t="str"/>
    </x:row>
    <x:row r="31">
      <x:c r="A31" s="108" t="str">
        <x:v>Red And White</x:v>
      </x:c>
      <x:c r="B31" s="108" t="str">
        <x:v>RWT</x:v>
      </x:c>
      <x:c r="C31" s="108" t="str">
        <x:v>Yes</x:v>
      </x:c>
      <x:c r="D31" s="108" t="str"/>
    </x:row>
    <x:row r="32">
      <x:c r="A32" s="108" t="str">
        <x:v>Sea Blue</x:v>
      </x:c>
      <x:c r="B32" s="108" t="str">
        <x:v>SBL</x:v>
      </x:c>
      <x:c r="C32" s="108" t="str">
        <x:v>Yes</x:v>
      </x:c>
      <x:c r="D32" s="108" t="str"/>
    </x:row>
    <x:row r="33">
      <x:c r="A33" s="108" t="str">
        <x:v>Silver</x:v>
      </x:c>
      <x:c r="B33" s="108" t="str">
        <x:v>SLV</x:v>
      </x:c>
      <x:c r="C33" s="108" t="str">
        <x:v>No</x:v>
      </x:c>
      <x:c r="D33" s="108" t="str"/>
    </x:row>
    <x:row r="34">
      <x:c r="A34" s="108" t="str">
        <x:v>Violet</x:v>
      </x:c>
      <x:c r="B34" s="108" t="str">
        <x:v>VIO</x:v>
      </x:c>
      <x:c r="C34" s="108" t="str">
        <x:v>Yes</x:v>
      </x:c>
      <x:c r="D34" s="108" t="str"/>
    </x:row>
    <x:row r="35">
      <x:c r="A35" s="108" t="str">
        <x:v>White</x:v>
      </x:c>
      <x:c r="B35" s="108" t="str">
        <x:v>WHT</x:v>
      </x:c>
      <x:c r="C35" s="108" t="str">
        <x:v>Yes</x:v>
      </x:c>
      <x:c r="D35" s="108" t="str"/>
    </x:row>
    <x:row r="36">
      <x:c r="A36" s="108" t="str">
        <x:v>Wine</x:v>
      </x:c>
      <x:c r="B36" s="108" t="str">
        <x:v>WIN</x:v>
      </x:c>
      <x:c r="C36" s="108" t="str">
        <x:v>Yes</x:v>
      </x:c>
      <x:c r="D36" s="108" t="str"/>
    </x:row>
    <x:row r="37">
      <x:c r="A37" s="108" t="str">
        <x:v>Yellow</x:v>
      </x:c>
      <x:c r="B37" s="108" t="str">
        <x:v>YLW</x:v>
      </x:c>
      <x:c r="C37" s="108" t="str">
        <x:v>Yes</x:v>
      </x:c>
      <x:c r="D37" s="108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cd21f67956b47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20" hidden="0" customWidth="1"/>
    <x:col min="3" max="3" width="23.329999923706055" hidden="0" customWidth="1"/>
    <x:col min="4" max="4" width="25.559999465942383" hidden="0" customWidth="1"/>
    <x:col min="5" max="5" width="16.110000610351562" hidden="0" customWidth="1"/>
    <x:col min="6" max="6" width="10" hidden="0" customWidth="1"/>
    <x:col min="7" max="7" width="25.559999465942383" hidden="0" customWidth="1"/>
    <x:col min="8" max="8" width="28.889999389648438" hidden="0" customWidth="1"/>
    <x:col min="9" max="9" width="11.109999656677246" hidden="0" customWidth="1"/>
  </x:cols>
  <x:sheetData>
    <x:row r="1" ht="30" customHeight="1">
      <x:c r="A1" s="106" t="str">
        <x:v>INTERNATIONAL SUPPLIER DIRECTORY</x:v>
      </x:c>
      <x:c r="B1" s="106"/>
      <x:c r="C1" s="106"/>
      <x:c r="D1" s="106"/>
      <x:c r="E1" s="106"/>
      <x:c r="F1" s="106"/>
      <x:c r="G1" s="106"/>
      <x:c r="H1" s="106"/>
      <x:c r="I1" s="106"/>
    </x:row>
    <x:row r="2" ht="22" customHeight="1">
      <x:c r="A2" s="107" t="str">
        <x:v>Complete one row per supplier. Supplier identities and payment details are not exposed to other suppliers.</x:v>
      </x:c>
      <x:c r="B2" s="107"/>
      <x:c r="C2" s="107"/>
      <x:c r="D2" s="107"/>
      <x:c r="E2" s="107"/>
      <x:c r="F2" s="107"/>
      <x:c r="G2" s="107"/>
      <x:c r="H2" s="107"/>
      <x:c r="I2" s="107"/>
    </x:row>
    <x:row r="3">
      <x:c r="A3" s="108"/>
      <x:c r="B3" s="108"/>
      <x:c r="C3" s="108"/>
      <x:c r="D3" s="108"/>
      <x:c r="E3" s="108"/>
      <x:c r="F3" s="108"/>
      <x:c r="G3" s="108"/>
      <x:c r="H3" s="108"/>
      <x:c r="I3" s="108"/>
    </x:row>
    <x:row r="4" ht="34" customHeight="1">
      <x:c r="A4" s="109" t="str">
        <x:v>Supplier ID</x:v>
      </x:c>
      <x:c r="B4" s="109" t="str">
        <x:v>Company Name</x:v>
      </x:c>
      <x:c r="C4" s="109" t="str">
        <x:v>Contact Email / Login</x:v>
      </x:c>
      <x:c r="D4" s="109" t="str">
        <x:v>Countries They Ship To</x:v>
      </x:c>
      <x:c r="E4" s="109" t="str">
        <x:v>Typical Processing Time</x:v>
      </x:c>
      <x:c r="F4" s="109" t="str">
        <x:v>Ships DDP?</x:v>
      </x:c>
      <x:c r="G4" s="109" t="str">
        <x:v>Product Identification Method</x:v>
      </x:c>
      <x:c r="H4" s="109" t="str">
        <x:v>Assigned Style Codes / SKUs</x:v>
      </x:c>
      <x:c r="I4" s="109" t="str">
        <x:v>Status</x:v>
      </x:c>
    </x:row>
    <x:row r="5" ht="38" customHeight="1">
      <x:c r="A5" s="122" t="str">
        <x:v>SUP01</x:v>
      </x:c>
      <x:c r="B5" s="122" t="str"/>
      <x:c r="C5" s="122" t="str"/>
      <x:c r="D5" s="122" t="str"/>
      <x:c r="E5" s="122" t="str"/>
      <x:c r="F5" s="122" t="str">
        <x:v>Unknown</x:v>
      </x:c>
      <x:c r="G5" s="122" t="str">
        <x:v>Alibaba item number / supplier reference</x:v>
      </x:c>
      <x:c r="H5" s="122" t="str"/>
      <x:c r="I5" s="122" t="str">
        <x:v>To complete</x:v>
      </x:c>
    </x:row>
    <x:row r="6" ht="38" customHeight="1">
      <x:c r="A6" s="123" t="str">
        <x:v>SUP02</x:v>
      </x:c>
      <x:c r="B6" s="123" t="str"/>
      <x:c r="C6" s="123" t="str"/>
      <x:c r="D6" s="123" t="str"/>
      <x:c r="E6" s="123" t="str"/>
      <x:c r="F6" s="123" t="str">
        <x:v>Unknown</x:v>
      </x:c>
      <x:c r="G6" s="123" t="str">
        <x:v>Alibaba item number / supplier reference</x:v>
      </x:c>
      <x:c r="H6" s="123" t="str"/>
      <x:c r="I6" s="123" t="str">
        <x:v>To complete</x:v>
      </x:c>
    </x:row>
    <x:row r="7" ht="38" customHeight="1">
      <x:c r="A7" s="123" t="str">
        <x:v>SUP03</x:v>
      </x:c>
      <x:c r="B7" s="123" t="str"/>
      <x:c r="C7" s="123" t="str"/>
      <x:c r="D7" s="123" t="str"/>
      <x:c r="E7" s="123" t="str"/>
      <x:c r="F7" s="123" t="str">
        <x:v>Unknown</x:v>
      </x:c>
      <x:c r="G7" s="123" t="str">
        <x:v>Alibaba item number / supplier reference</x:v>
      </x:c>
      <x:c r="H7" s="123" t="str"/>
      <x:c r="I7" s="123" t="str">
        <x:v>To complete</x:v>
      </x:c>
    </x:row>
    <x:row r="8" ht="38" customHeight="1">
      <x:c r="A8" s="123" t="str">
        <x:v>SUP04</x:v>
      </x:c>
      <x:c r="B8" s="123" t="str"/>
      <x:c r="C8" s="123" t="str"/>
      <x:c r="D8" s="123" t="str"/>
      <x:c r="E8" s="123" t="str"/>
      <x:c r="F8" s="123" t="str">
        <x:v>Unknown</x:v>
      </x:c>
      <x:c r="G8" s="123" t="str">
        <x:v>Alibaba item number / supplier reference</x:v>
      </x:c>
      <x:c r="H8" s="123" t="str"/>
      <x:c r="I8" s="123" t="str">
        <x:v>To complete</x:v>
      </x:c>
    </x:row>
    <x:row r="9" ht="38" customHeight="1">
      <x:c r="A9" s="123" t="str">
        <x:v>SUP05</x:v>
      </x:c>
      <x:c r="B9" s="123" t="str"/>
      <x:c r="C9" s="123" t="str"/>
      <x:c r="D9" s="123" t="str"/>
      <x:c r="E9" s="123" t="str"/>
      <x:c r="F9" s="123" t="str">
        <x:v>Unknown</x:v>
      </x:c>
      <x:c r="G9" s="123" t="str">
        <x:v>Alibaba item number / supplier reference</x:v>
      </x:c>
      <x:c r="H9" s="123" t="str"/>
      <x:c r="I9" s="123" t="str">
        <x:v>To complete</x:v>
      </x:c>
    </x:row>
    <x:row r="10" ht="38" customHeight="1">
      <x:c r="A10" s="123" t="str">
        <x:v>SUP06</x:v>
      </x:c>
      <x:c r="B10" s="123" t="str"/>
      <x:c r="C10" s="123" t="str"/>
      <x:c r="D10" s="123" t="str"/>
      <x:c r="E10" s="123" t="str"/>
      <x:c r="F10" s="123" t="str">
        <x:v>Unknown</x:v>
      </x:c>
      <x:c r="G10" s="123" t="str">
        <x:v>Alibaba item number / supplier reference</x:v>
      </x:c>
      <x:c r="H10" s="123" t="str"/>
      <x:c r="I10" s="123" t="str">
        <x:v>To complete</x:v>
      </x:c>
    </x:row>
    <x:row r="11" ht="38" customHeight="1">
      <x:c r="A11" s="123" t="str">
        <x:v>SUP07</x:v>
      </x:c>
      <x:c r="B11" s="123" t="str"/>
      <x:c r="C11" s="123" t="str"/>
      <x:c r="D11" s="123" t="str"/>
      <x:c r="E11" s="123" t="str"/>
      <x:c r="F11" s="123" t="str">
        <x:v>Unknown</x:v>
      </x:c>
      <x:c r="G11" s="123" t="str">
        <x:v>Alibaba item number / supplier reference</x:v>
      </x:c>
      <x:c r="H11" s="123" t="str"/>
      <x:c r="I11" s="123" t="str">
        <x:v>To complete</x:v>
      </x:c>
    </x:row>
    <x:row r="12" ht="38" customHeight="1">
      <x:c r="A12" s="124" t="str">
        <x:v>SUP08</x:v>
      </x:c>
      <x:c r="B12" s="124" t="str"/>
      <x:c r="C12" s="124" t="str"/>
      <x:c r="D12" s="124" t="str"/>
      <x:c r="E12" s="124" t="str"/>
      <x:c r="F12" s="124" t="str">
        <x:v>Unknown</x:v>
      </x:c>
      <x:c r="G12" s="124" t="str">
        <x:v>Alibaba item number / supplier reference</x:v>
      </x:c>
      <x:c r="H12" s="124" t="str"/>
      <x:c r="I12" s="124" t="str">
        <x:v>To complete</x:v>
      </x:c>
    </x:row>
  </x:sheetData>
  <x:mergeCells>
    <x:mergeCell ref="A1:I1"/>
    <x:mergeCell ref="A2:I2"/>
  </x:mergeCells>
  <x:dataValidations count="2">
    <x:dataValidation type="list" sqref="F5:F12">
      <x:formula1>"Yes,No,Unknown"</x:formula1>
    </x:dataValidation>
    <x:dataValidation type="list" sqref="I5:I12">
      <x:formula1>"Active,Inactive,To 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7120fce40e4b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16.670000076293945" hidden="0" customWidth="1"/>
    <x:col min="5" max="5" width="18.889999389648438" hidden="0" customWidth="1"/>
    <x:col min="6" max="6" width="33.33000183105469" hidden="0" customWidth="1"/>
  </x:cols>
  <x:sheetData>
    <x:row r="1" ht="30" customHeight="1">
      <x:c r="A1" s="106" t="str">
        <x:v>ACCESS &amp; PAYMENT RULES</x:v>
      </x:c>
      <x:c r="B1" s="106"/>
      <x:c r="C1" s="106"/>
      <x:c r="D1" s="106"/>
      <x:c r="E1" s="106"/>
      <x:c r="F1" s="106"/>
    </x:row>
    <x:row r="2" ht="22" customHeight="1">
      <x:c r="A2" s="107" t="str">
        <x:v>Confirmed operating rules for Klarelle, suppliers and customer payments.</x:v>
      </x:c>
      <x:c r="B2" s="107"/>
      <x:c r="C2" s="107"/>
      <x:c r="D2" s="107"/>
      <x:c r="E2" s="107"/>
      <x:c r="F2" s="107"/>
    </x:row>
    <x:row r="3">
      <x:c r="A3" s="108"/>
      <x:c r="B3" s="108"/>
      <x:c r="C3" s="108"/>
      <x:c r="D3" s="108"/>
      <x:c r="E3" s="108"/>
      <x:c r="F3" s="108"/>
    </x:row>
    <x:row r="4" ht="34" customHeight="1">
      <x:c r="A4" s="109" t="str">
        <x:v>Information / Action</x:v>
      </x:c>
      <x:c r="B4" s="109" t="str">
        <x:v>Klarelle Admin</x:v>
      </x:c>
      <x:c r="C4" s="109" t="str">
        <x:v>Assigned Supplier</x:v>
      </x:c>
      <x:c r="D4" s="109" t="str">
        <x:v>Other Suppliers</x:v>
      </x:c>
      <x:c r="E4" s="109" t="str">
        <x:v>Customer</x:v>
      </x:c>
      <x:c r="F4" s="109" t="str">
        <x:v>Rule</x:v>
      </x:c>
    </x:row>
    <x:row r="5" ht="38" customHeight="1">
      <x:c r="A5" s="125" t="str">
        <x:v>Assigned SKUs</x:v>
      </x:c>
      <x:c r="B5" s="125" t="str">
        <x:v>All</x:v>
      </x:c>
      <x:c r="C5" s="125" t="str">
        <x:v>Only their assigned SKUs</x:v>
      </x:c>
      <x:c r="D5" s="125" t="str">
        <x:v>No</x:v>
      </x:c>
      <x:c r="E5" s="125" t="str">
        <x:v>No</x:v>
      </x:c>
      <x:c r="F5" s="125" t="str">
        <x:v>Supplier access is filtered by assignment.</x:v>
      </x:c>
    </x:row>
    <x:row r="6" ht="38" customHeight="1">
      <x:c r="A6" s="126" t="str">
        <x:v>Orders</x:v>
      </x:c>
      <x:c r="B6" s="126" t="str">
        <x:v>All</x:v>
      </x:c>
      <x:c r="C6" s="126" t="str">
        <x:v>Only orders containing their assigned SKUs</x:v>
      </x:c>
      <x:c r="D6" s="126" t="str">
        <x:v>No</x:v>
      </x:c>
      <x:c r="E6" s="126" t="str">
        <x:v>Only their own order</x:v>
      </x:c>
      <x:c r="F6" s="126" t="str">
        <x:v>No supplier sees another supplier's orders.</x:v>
      </x:c>
    </x:row>
    <x:row r="7" ht="38" customHeight="1">
      <x:c r="A7" s="126" t="str">
        <x:v>Customer shipping details</x:v>
      </x:c>
      <x:c r="B7" s="126" t="str">
        <x:v>All</x:v>
      </x:c>
      <x:c r="C7" s="126" t="str">
        <x:v>Only what is needed to fulfill their order</x:v>
      </x:c>
      <x:c r="D7" s="126" t="str">
        <x:v>No</x:v>
      </x:c>
      <x:c r="E7" s="126" t="str">
        <x:v>Their own</x:v>
      </x:c>
      <x:c r="F7" s="126" t="str">
        <x:v>Limit supplier access to fulfillment data.</x:v>
      </x:c>
    </x:row>
    <x:row r="8" ht="38" customHeight="1">
      <x:c r="A8" s="126" t="str">
        <x:v>Stripe / payment account</x:v>
      </x:c>
      <x:c r="B8" s="126" t="str">
        <x:v>All</x:v>
      </x:c>
      <x:c r="C8" s="126" t="str">
        <x:v>Never</x:v>
      </x:c>
      <x:c r="D8" s="126" t="str">
        <x:v>Never</x:v>
      </x:c>
      <x:c r="E8" s="126" t="str">
        <x:v>No</x:v>
      </x:c>
      <x:c r="F8" s="126" t="str">
        <x:v>Supplier portal must not expose Stripe.</x:v>
      </x:c>
    </x:row>
    <x:row r="9" ht="38" customHeight="1">
      <x:c r="A9" s="126" t="str">
        <x:v>Retail price</x:v>
      </x:c>
      <x:c r="B9" s="126" t="str">
        <x:v>All</x:v>
      </x:c>
      <x:c r="C9" s="126" t="str">
        <x:v>Never</x:v>
      </x:c>
      <x:c r="D9" s="126" t="str">
        <x:v>Never</x:v>
      </x:c>
      <x:c r="E9" s="126" t="str">
        <x:v>Customer sees selling price</x:v>
      </x:c>
      <x:c r="F9" s="126" t="str">
        <x:v>Supplier portal must hide retail price.</x:v>
      </x:c>
    </x:row>
    <x:row r="10" ht="38" customHeight="1">
      <x:c r="A10" s="126" t="str">
        <x:v>Profit / margin</x:v>
      </x:c>
      <x:c r="B10" s="126" t="str">
        <x:v>All</x:v>
      </x:c>
      <x:c r="C10" s="126" t="str">
        <x:v>Never</x:v>
      </x:c>
      <x:c r="D10" s="126" t="str">
        <x:v>Never</x:v>
      </x:c>
      <x:c r="E10" s="126" t="str">
        <x:v>No</x:v>
      </x:c>
      <x:c r="F10" s="126" t="str">
        <x:v>Internal Klarelle information only.</x:v>
      </x:c>
    </x:row>
    <x:row r="11" ht="38" customHeight="1">
      <x:c r="A11" s="126" t="str">
        <x:v>Supplier cost owed</x:v>
      </x:c>
      <x:c r="B11" s="126" t="str">
        <x:v>All</x:v>
      </x:c>
      <x:c r="C11" s="126" t="str">
        <x:v>Only their own agreed cost</x:v>
      </x:c>
      <x:c r="D11" s="126" t="str">
        <x:v>Never</x:v>
      </x:c>
      <x:c r="E11" s="126" t="str">
        <x:v>No</x:v>
      </x:c>
      <x:c r="F11" s="126" t="str">
        <x:v>Record liability; do not auto-pay.</x:v>
      </x:c>
    </x:row>
    <x:row r="12" ht="38" customHeight="1">
      <x:c r="A12" s="126" t="str">
        <x:v>Payment collection</x:v>
      </x:c>
      <x:c r="B12" s="126" t="str">
        <x:v>Klarelle receives customer payment</x:v>
      </x:c>
      <x:c r="C12" s="126" t="str">
        <x:v>No</x:v>
      </x:c>
      <x:c r="D12" s="126" t="str">
        <x:v>No</x:v>
      </x:c>
      <x:c r="E12" s="126" t="str">
        <x:v>Pays Klarelle</x:v>
      </x:c>
      <x:c r="F12" s="126" t="str">
        <x:v>Customers always pay Klarelle.</x:v>
      </x:c>
    </x:row>
    <x:row r="13" ht="38" customHeight="1">
      <x:c r="A13" s="127" t="str">
        <x:v>Supplier payout</x:v>
      </x:c>
      <x:c r="B13" s="127" t="str">
        <x:v>Klarelle pays later via Alibaba Trade Assurance</x:v>
      </x:c>
      <x:c r="C13" s="127" t="str">
        <x:v>No automatic payout</x:v>
      </x:c>
      <x:c r="D13" s="127" t="str">
        <x:v>No automatic payout</x:v>
      </x:c>
      <x:c r="E13" s="127" t="str">
        <x:v>No</x:v>
      </x:c>
      <x:c r="F13" s="127" t="str">
        <x:v>Manual payment after order/cost verification.</x:v>
      </x:c>
    </x:row>
    <x:row r="14">
      <x:c r="A14" s="108"/>
      <x:c r="B14" s="108"/>
      <x:c r="C14" s="108"/>
      <x:c r="D14" s="108"/>
      <x:c r="E14" s="108"/>
      <x:c r="F14" s="108"/>
    </x:row>
    <x:row r="15">
      <x:c r="A15" s="108"/>
      <x:c r="B15" s="108"/>
      <x:c r="C15" s="108"/>
      <x:c r="D15" s="108"/>
      <x:c r="E15" s="108"/>
      <x:c r="F15" s="108"/>
    </x:row>
    <x:row r="16">
      <x:c r="A16" s="119" t="str">
        <x:v>PAYMENT CONFIRMATION</x:v>
      </x:c>
      <x:c r="B16" s="119"/>
      <x:c r="C16" s="119"/>
      <x:c r="D16" s="119"/>
      <x:c r="E16" s="119"/>
      <x:c r="F16" s="119"/>
    </x:row>
    <x:row r="17">
      <x:c r="A17" s="128" t="str">
        <x:v>Confirmed</x:v>
      </x:c>
      <x:c r="B17" s="128" t="str">
        <x:v>Customers always pay Klarelle.</x:v>
      </x:c>
      <x:c r="C17" s="128"/>
      <x:c r="D17" s="128"/>
      <x:c r="E17" s="128"/>
      <x:c r="F17" s="128"/>
    </x:row>
    <x:row r="18">
      <x:c r="A18" s="128" t="str">
        <x:v>Confirmed</x:v>
      </x:c>
      <x:c r="B18" s="128" t="str">
        <x:v>The system records what Klarelle owes each supplier.</x:v>
      </x:c>
      <x:c r="C18" s="128"/>
      <x:c r="D18" s="128"/>
      <x:c r="E18" s="128"/>
      <x:c r="F18" s="128"/>
    </x:row>
    <x:row r="19">
      <x:c r="A19" s="128" t="str">
        <x:v>Confirmed</x:v>
      </x:c>
      <x:c r="B19" s="128" t="str">
        <x:v>Klarelle pays suppliers later through Alibaba Trade Assurance.</x:v>
      </x:c>
      <x:c r="C19" s="128"/>
      <x:c r="D19" s="128"/>
      <x:c r="E19" s="128"/>
      <x:c r="F19" s="128"/>
    </x:row>
    <x:row r="20">
      <x:c r="A20" s="128" t="str">
        <x:v>Confirmed</x:v>
      </x:c>
      <x:c r="B20" s="128" t="str">
        <x:v>There are no automatic supplier payouts.</x:v>
      </x:c>
      <x:c r="C20" s="128"/>
      <x:c r="D20" s="128"/>
      <x:c r="E20" s="128"/>
      <x:c r="F20" s="128"/>
    </x:row>
  </x:sheetData>
  <x:mergeCells>
    <x:mergeCell ref="A1:F1"/>
    <x:mergeCell ref="A2:F2"/>
    <x:mergeCell ref="A16:F16"/>
    <x:mergeCell ref="B17:F17"/>
    <x:mergeCell ref="B18:F18"/>
    <x:mergeCell ref="B19:F19"/>
    <x:mergeCell ref="B20:F20"/>
  </x:mergeCells>
  <x:pageMargins left="0.7" right="0.7" top="0.75" bottom="0.75" header="0.3" footer="0.3"/>
  <x:tableParts count="1">
    <x:tablePart xmlns:r="http://schemas.openxmlformats.org/officeDocument/2006/relationships" r:id="R3d55b1e7ca924e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4.440000534057617" hidden="0" customWidth="1"/>
    <x:col min="3" max="3" width="16.670000076293945" hidden="0" customWidth="1"/>
    <x:col min="4" max="4" width="43.33000183105469" hidden="0" customWidth="1"/>
    <x:col min="5" max="5" width="21.110000610351562" hidden="0" customWidth="1"/>
  </x:cols>
  <x:sheetData>
    <x:row r="1" ht="30" customHeight="1">
      <x:c r="A1" s="106" t="str">
        <x:v>EASYSHIP &amp; NEW JERSEY WAREHOUSE</x:v>
      </x:c>
      <x:c r="B1" s="106"/>
      <x:c r="C1" s="106"/>
      <x:c r="D1" s="106"/>
      <x:c r="E1" s="106"/>
    </x:row>
    <x:row r="2" ht="22" customHeight="1">
      <x:c r="A2" s="107" t="str">
        <x:v>Items below require verification inside the connected Easyship account before launch.</x:v>
      </x:c>
      <x:c r="B2" s="107"/>
      <x:c r="C2" s="107"/>
      <x:c r="D2" s="107"/>
      <x:c r="E2" s="107"/>
    </x:row>
    <x:row r="3">
      <x:c r="A3" s="108"/>
      <x:c r="B3" s="108"/>
      <x:c r="C3" s="108"/>
      <x:c r="D3" s="108"/>
      <x:c r="E3" s="108"/>
    </x:row>
    <x:row r="4" ht="34" customHeight="1">
      <x:c r="A4" s="109" t="str">
        <x:v>Check</x:v>
      </x:c>
      <x:c r="B4" s="109" t="str">
        <x:v>Expected Setting</x:v>
      </x:c>
      <x:c r="C4" s="109" t="str">
        <x:v>Current Confirmation</x:v>
      </x:c>
      <x:c r="D4" s="109" t="str">
        <x:v>How to Verify</x:v>
      </x:c>
      <x:c r="E4" s="109" t="str">
        <x:v>Owner / Evidence</x:v>
      </x:c>
    </x:row>
    <x:row r="5" ht="50" customHeight="1">
      <x:c r="A5" s="125" t="str">
        <x:v>US pickup address</x:v>
      </x:c>
      <x:c r="B5" s="125" t="str">
        <x:v>New Jersey warehouse address</x:v>
      </x:c>
      <x:c r="C5" s="129" t="str">
        <x:v>NEEDS VERIFICATION</x:v>
      </x:c>
      <x:c r="D5" s="125" t="str">
        <x:v>Easyship → Account → Shipping → Addresses; confirm the default pickup is the NJ warehouse.</x:v>
      </x:c>
      <x:c r="E5" s="125" t="str">
        <x:v>Screenshot or copied address</x:v>
      </x:c>
    </x:row>
    <x:row r="6" ht="50" customHeight="1">
      <x:c r="A6" s="126" t="str">
        <x:v>Default sender for US stock</x:v>
      </x:c>
      <x:c r="B6" s="126" t="str">
        <x:v>New Jersey warehouse</x:v>
      </x:c>
      <x:c r="C6" s="130" t="str">
        <x:v>NEEDS VERIFICATION</x:v>
      </x:c>
      <x:c r="D6" s="126" t="str">
        <x:v>Create a test shipment and confirm the sender address before purchasing a label.</x:v>
      </x:c>
      <x:c r="E6" s="126" t="str">
        <x:v>Test shipment</x:v>
      </x:c>
    </x:row>
    <x:row r="7" ht="50" customHeight="1">
      <x:c r="A7" s="126" t="str">
        <x:v>API token: create shipments</x:v>
      </x:c>
      <x:c r="B7" s="126" t="str">
        <x:v>Allowed</x:v>
      </x:c>
      <x:c r="C7" s="130" t="str">
        <x:v>NEEDS LIVE TEST</x:v>
      </x:c>
      <x:c r="D7" s="126" t="str">
        <x:v>Developer creates a test shipment through the API and records the shipment ID.</x:v>
      </x:c>
      <x:c r="E7" s="126" t="str">
        <x:v>API response</x:v>
      </x:c>
    </x:row>
    <x:row r="8" ht="50" customHeight="1">
      <x:c r="A8" s="126" t="str">
        <x:v>API token: create labels</x:v>
      </x:c>
      <x:c r="B8" s="126" t="str">
        <x:v>Allowed</x:v>
      </x:c>
      <x:c r="C8" s="130" t="str">
        <x:v>NEEDS LIVE TEST</x:v>
      </x:c>
      <x:c r="D8" s="126" t="str">
        <x:v>Developer creates a test label in test mode or cancels/voids a live test label if applicable.</x:v>
      </x:c>
      <x:c r="E8" s="126" t="str">
        <x:v>Label response / PDF</x:v>
      </x:c>
    </x:row>
    <x:row r="9" ht="50" customHeight="1">
      <x:c r="A9" s="127" t="str">
        <x:v>International supplier orders</x:v>
      </x:c>
      <x:c r="B9" s="127" t="str">
        <x:v>Do not use NJ pickup address</x:v>
      </x:c>
      <x:c r="C9" s="131" t="str">
        <x:v>CONFIRMED RULE</x:v>
      </x:c>
      <x:c r="D9" s="127" t="str">
        <x:v>Route supplier-fulfilled orders separately using the supplier as origin.</x:v>
      </x:c>
      <x:c r="E9" s="127" t="str">
        <x:v>Website routing rule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09239de0cd54d1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21.110000610351562" hidden="0" customWidth="1"/>
    <x:col min="3" max="3" width="40" hidden="0" customWidth="1"/>
    <x:col min="4" max="4" width="42.220001220703125" hidden="0" customWidth="1"/>
    <x:col min="5" max="5" width="36.66999816894531" hidden="0" customWidth="1"/>
    <x:col min="6" max="6" width="13.329999923706055" hidden="0" customWidth="1"/>
  </x:cols>
  <x:sheetData>
    <x:row r="1" ht="30" customHeight="1">
      <x:c r="A1" s="106" t="str">
        <x:v>WEBSITE &amp; SKU CHECKS</x:v>
      </x:c>
      <x:c r="B1" s="106"/>
      <x:c r="C1" s="106"/>
      <x:c r="D1" s="106"/>
      <x:c r="E1" s="106"/>
      <x:c r="F1" s="106"/>
    </x:row>
    <x:row r="2" ht="22" customHeight="1">
      <x:c r="A2" s="107" t="str">
        <x:v>Live storefront review completed from the published All collection.</x:v>
      </x:c>
      <x:c r="B2" s="107"/>
      <x:c r="C2" s="107"/>
      <x:c r="D2" s="107"/>
      <x:c r="E2" s="107"/>
      <x:c r="F2" s="107"/>
    </x:row>
    <x:row r="3">
      <x:c r="A3" s="108"/>
      <x:c r="B3" s="108"/>
      <x:c r="C3" s="108"/>
      <x:c r="D3" s="108"/>
      <x:c r="E3" s="108"/>
      <x:c r="F3" s="108"/>
    </x:row>
    <x:row r="4" ht="34" customHeight="1">
      <x:c r="A4" s="109" t="str">
        <x:v>Priority</x:v>
      </x:c>
      <x:c r="B4" s="109" t="str">
        <x:v>Product / Area</x:v>
      </x:c>
      <x:c r="C4" s="109" t="str">
        <x:v>Finding</x:v>
      </x:c>
      <x:c r="D4" s="109" t="str">
        <x:v>Required Action</x:v>
      </x:c>
      <x:c r="E4" s="109" t="str">
        <x:v>Source URL</x:v>
      </x:c>
      <x:c r="F4" s="109" t="str">
        <x:v>Status</x:v>
      </x:c>
    </x:row>
    <x:row r="5" ht="58" customHeight="1">
      <x:c r="A5" s="132" t="str">
        <x:v>Info</x:v>
      </x:c>
      <x:c r="B5" s="125" t="str">
        <x:v>Published catalog</x:v>
      </x:c>
      <x:c r="C5" s="125" t="str">
        <x:v>60 products are published: 59 dresses/gowns and 1 body shaper.</x:v>
      </x:c>
      <x:c r="D5" s="125" t="str">
        <x:v>Use this workbook as the published SKU baseline.</x:v>
      </x:c>
      <x:c r="E5" s="125" t="str">
        <x:v>https://www.klarelle.store/category/all</x:v>
      </x:c>
      <x:c r="F5" s="125" t="str">
        <x:v>Complete</x:v>
      </x:c>
    </x:row>
    <x:row r="6" ht="58" customHeight="1">
      <x:c r="A6" s="133" t="str">
        <x:v>High</x:v>
      </x:c>
      <x:c r="B6" s="126" t="str">
        <x:v>Estrallia Fringe Gown</x:v>
      </x:c>
      <x:c r="C6" s="126" t="str">
        <x:v>Existing SKUs use Mint sizes L/XL; the live page currently shows Cream sizes M/L/XL.</x:v>
      </x:c>
      <x:c r="D6" s="126" t="str">
        <x:v>Do not overwrite the Mint SKUs. Confirm whether Cream is a replacement color or a separate variant.</x:v>
      </x:c>
      <x:c r="E6" s="126" t="str">
        <x:v>https://www.klarelle.store/product/418334d5-4109-4f27-8285-c1f68b3851bd</x:v>
      </x:c>
      <x:c r="F6" s="126" t="str">
        <x:v>Needs decision</x:v>
      </x:c>
    </x:row>
    <x:row r="7" ht="58" customHeight="1">
      <x:c r="A7" s="133" t="str">
        <x:v>High</x:v>
      </x:c>
      <x:c r="B7" s="126" t="str">
        <x:v>Zarellia Rhinestone Gown</x:v>
      </x:c>
      <x:c r="C7" s="126" t="str">
        <x:v>Existing SKU uses Lime / OS; the live page currently shows Gold / S and M.</x:v>
      </x:c>
      <x:c r="D7" s="126" t="str">
        <x:v>Keep the Lime/OS SKU as legacy and confirm the new Gold variants.</x:v>
      </x:c>
      <x:c r="E7" s="126" t="str">
        <x:v>https://www.klarelle.store/product/c8d05302-dc58-485e-9e01-c855c4c5a091</x:v>
      </x:c>
      <x:c r="F7" s="126" t="str">
        <x:v>Needs decision</x:v>
      </x:c>
    </x:row>
    <x:row r="8" ht="58" customHeight="1">
      <x:c r="A8" s="133" t="str">
        <x:v>High</x:v>
      </x:c>
      <x:c r="B8" s="126" t="str">
        <x:v>Elianna Cherise Gown</x:v>
      </x:c>
      <x:c r="C8" s="126" t="str">
        <x:v>Existing SKUs use Blue M/L; the live page shows Sea Blue S/M/L/XL.</x:v>
      </x:c>
      <x:c r="D8" s="126" t="str">
        <x:v>Preserve existing Blue SKUs and confirm whether Sea Blue is a rename or separate color.</x:v>
      </x:c>
      <x:c r="E8" s="126" t="str">
        <x:v>https://www.klarelle.store/product/6db22c38-669f-4539-a7c4-3d70f087cc54</x:v>
      </x:c>
      <x:c r="F8" s="126" t="str">
        <x:v>Needs decision</x:v>
      </x:c>
    </x:row>
    <x:row r="9" ht="58" customHeight="1">
      <x:c r="A9" s="134" t="str">
        <x:v>Medium</x:v>
      </x:c>
      <x:c r="B9" s="126" t="str">
        <x:v>Existing prices</x:v>
      </x:c>
      <x:c r="C9" s="126" t="str">
        <x:v>Some prices in the older SKU master differ from current live prices.</x:v>
      </x:c>
      <x:c r="D9" s="126" t="str">
        <x:v>SKUs stay unchanged; use the current live price column for website review.</x:v>
      </x:c>
      <x:c r="E9" s="126" t="str">
        <x:v>https://www.klarelle.store/category/all</x:v>
      </x:c>
      <x:c r="F9" s="126" t="str">
        <x:v>Noted</x:v>
      </x:c>
    </x:row>
    <x:row r="10" ht="58" customHeight="1">
      <x:c r="A10" s="134" t="str">
        <x:v>Medium</x:v>
      </x:c>
      <x:c r="B10" s="126" t="str">
        <x:v>Bin locations</x:v>
      </x:c>
      <x:c r="C10" s="126" t="str">
        <x:v>Only existing SKU rows had suggested bins. New US-warehouse variants have blank bins.</x:v>
      </x:c>
      <x:c r="D10" s="126" t="str">
        <x:v>Assign physical NJ bin locations after stock is counted and shelved.</x:v>
      </x:c>
      <x:c r="E10" s="126" t="str"/>
      <x:c r="F10" s="126" t="str">
        <x:v>Open</x:v>
      </x:c>
    </x:row>
    <x:row r="11" ht="58" customHeight="1">
      <x:c r="A11" s="134" t="str">
        <x:v>Medium</x:v>
      </x:c>
      <x:c r="B11" s="126" t="str">
        <x:v>Supplier directory</x:v>
      </x:c>
      <x:c r="C11" s="126" t="str">
        <x:v>Supplier company names, emails, countries, processing times and DDP status were not available on the public site.</x:v>
      </x:c>
      <x:c r="D11" s="126" t="str">
        <x:v>Complete the Suppliers sheet for each supplier.</x:v>
      </x:c>
      <x:c r="E11" s="126" t="str"/>
      <x:c r="F11" s="126" t="str">
        <x:v>Open</x:v>
      </x:c>
    </x:row>
    <x:row r="12" ht="58" customHeight="1">
      <x:c r="A12" s="135" t="str">
        <x:v>Medium</x:v>
      </x:c>
      <x:c r="B12" s="127" t="str">
        <x:v>Easyship account</x:v>
      </x:c>
      <x:c r="C12" s="127" t="str">
        <x:v>The public storefront cannot confirm the private pickup address or API-token permissions.</x:v>
      </x:c>
      <x:c r="D12" s="127" t="str">
        <x:v>Complete the checks on the Easyship &amp; Warehouse sheet.</x:v>
      </x:c>
      <x:c r="E12" s="127" t="str"/>
      <x:c r="F12" s="127" t="str">
        <x:v>Open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879cf07bd9448b6"/>
  </x:tableParts>
</x:worksheet>
</file>